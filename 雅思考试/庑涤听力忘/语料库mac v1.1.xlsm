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amingyuan/Desktop/庑涤听力忘/"/>
    </mc:Choice>
  </mc:AlternateContent>
  <xr:revisionPtr revIDLastSave="0" documentId="13_ncr:1_{ECDD2FE7-D6BA-DB41-9D2D-30BF2C344F30}" xr6:coauthVersionLast="47" xr6:coauthVersionMax="47" xr10:uidLastSave="{00000000-0000-0000-0000-000000000000}"/>
  <bookViews>
    <workbookView xWindow="0" yWindow="500" windowWidth="28800" windowHeight="15840" xr2:uid="{BED6341F-1CD3-374F-8091-E7B71E014C3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37" i="1" l="1"/>
  <c r="E1838" i="1"/>
  <c r="E1839" i="1"/>
  <c r="E1840" i="1"/>
  <c r="E1841" i="1"/>
  <c r="E1842" i="1"/>
  <c r="E1843" i="1"/>
  <c r="E1355" i="1"/>
  <c r="E1356" i="1"/>
  <c r="E1357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4" i="1"/>
  <c r="E5" i="1"/>
  <c r="E7" i="1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H23" i="1" l="1"/>
  <c r="H12" i="1"/>
  <c r="H22" i="1"/>
  <c r="H21" i="1"/>
  <c r="H14" i="1"/>
  <c r="H20" i="1"/>
  <c r="H16" i="1"/>
  <c r="H26" i="1"/>
  <c r="H18" i="1"/>
  <c r="H17" i="1"/>
  <c r="H25" i="1"/>
  <c r="H19" i="1"/>
  <c r="H24" i="1"/>
  <c r="H15" i="1"/>
  <c r="H13" i="1"/>
  <c r="H11" i="1"/>
  <c r="H2" i="1"/>
  <c r="H8" i="1"/>
  <c r="H7" i="1"/>
  <c r="H3" i="1"/>
  <c r="H10" i="1"/>
  <c r="H6" i="1"/>
  <c r="H5" i="1"/>
  <c r="H9" i="1"/>
  <c r="H4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</calcChain>
</file>

<file path=xl/sharedStrings.xml><?xml version="1.0" encoding="utf-8"?>
<sst xmlns="http://schemas.openxmlformats.org/spreadsheetml/2006/main" count="6158" uniqueCount="5922">
  <si>
    <t xml:space="preserve">Chapter3 Test Paper 1	</t>
    <phoneticPr fontId="3" type="noConversion"/>
  </si>
  <si>
    <t>能力</t>
  </si>
  <si>
    <t>ability</t>
    <phoneticPr fontId="3" type="noConversion"/>
  </si>
  <si>
    <t>摘要</t>
  </si>
  <si>
    <t>abstract</t>
    <phoneticPr fontId="3" type="noConversion"/>
  </si>
  <si>
    <t>会计</t>
  </si>
  <si>
    <t>accountant</t>
    <phoneticPr fontId="3" type="noConversion"/>
  </si>
  <si>
    <t>准确度</t>
  </si>
  <si>
    <t>accuracy</t>
    <phoneticPr fontId="3" type="noConversion"/>
  </si>
  <si>
    <t>酸</t>
  </si>
  <si>
    <t>acid</t>
    <phoneticPr fontId="3" type="noConversion"/>
  </si>
  <si>
    <t>行动</t>
  </si>
  <si>
    <t>action</t>
    <phoneticPr fontId="3" type="noConversion"/>
  </si>
  <si>
    <t>活动</t>
  </si>
  <si>
    <t>activity</t>
    <phoneticPr fontId="3" type="noConversion"/>
  </si>
  <si>
    <t>男演员</t>
  </si>
  <si>
    <t>actor</t>
    <phoneticPr fontId="3" type="noConversion"/>
  </si>
  <si>
    <t>成年人</t>
  </si>
  <si>
    <t>adult</t>
    <phoneticPr fontId="3" type="noConversion"/>
  </si>
  <si>
    <t>冒险</t>
  </si>
  <si>
    <t>adventure</t>
    <phoneticPr fontId="3" type="noConversion"/>
  </si>
  <si>
    <t>广告，宣传</t>
  </si>
  <si>
    <t>advertisements</t>
    <phoneticPr fontId="3" type="noConversion"/>
  </si>
  <si>
    <t>广告</t>
  </si>
  <si>
    <t>advertising</t>
    <phoneticPr fontId="3" type="noConversion"/>
  </si>
  <si>
    <t>建议</t>
  </si>
  <si>
    <t>advice</t>
    <phoneticPr fontId="3" type="noConversion"/>
  </si>
  <si>
    <t>年纪</t>
  </si>
  <si>
    <t>age</t>
    <phoneticPr fontId="3" type="noConversion"/>
  </si>
  <si>
    <t>中介，代理机构</t>
  </si>
  <si>
    <t>agency</t>
    <phoneticPr fontId="3" type="noConversion"/>
  </si>
  <si>
    <t>同意</t>
  </si>
  <si>
    <t>agreement</t>
    <phoneticPr fontId="3" type="noConversion"/>
  </si>
  <si>
    <t>农业</t>
  </si>
  <si>
    <t>agriculture</t>
    <phoneticPr fontId="3" type="noConversion"/>
  </si>
  <si>
    <t>帮助</t>
  </si>
  <si>
    <t>aid</t>
    <phoneticPr fontId="3" type="noConversion"/>
  </si>
  <si>
    <t>瞄准，目的</t>
  </si>
  <si>
    <t>aim</t>
    <phoneticPr fontId="3" type="noConversion"/>
  </si>
  <si>
    <t>空气</t>
  </si>
  <si>
    <t>air</t>
    <phoneticPr fontId="3" type="noConversion"/>
  </si>
  <si>
    <t>过敏</t>
  </si>
  <si>
    <t>allergy</t>
    <phoneticPr fontId="3" type="noConversion"/>
  </si>
  <si>
    <t>小巷，道</t>
  </si>
  <si>
    <t>alley</t>
    <phoneticPr fontId="3" type="noConversion"/>
  </si>
  <si>
    <t>津贴</t>
  </si>
  <si>
    <t>allowance</t>
    <phoneticPr fontId="3" type="noConversion"/>
  </si>
  <si>
    <t>改变</t>
  </si>
  <si>
    <t>alteration</t>
    <phoneticPr fontId="3" type="noConversion"/>
  </si>
  <si>
    <t>海拔，高度</t>
  </si>
  <si>
    <t>altitude</t>
    <phoneticPr fontId="3" type="noConversion"/>
  </si>
  <si>
    <t>野心，抱负</t>
  </si>
  <si>
    <t>ambition</t>
    <phoneticPr fontId="3" type="noConversion"/>
  </si>
  <si>
    <t>救护车</t>
  </si>
  <si>
    <t>ambulance</t>
    <phoneticPr fontId="3" type="noConversion"/>
  </si>
  <si>
    <t>数量</t>
  </si>
  <si>
    <t>amount</t>
    <phoneticPr fontId="3" type="noConversion"/>
  </si>
  <si>
    <t>分析</t>
  </si>
  <si>
    <t>analysis</t>
    <phoneticPr fontId="3" type="noConversion"/>
  </si>
  <si>
    <t>分析家</t>
  </si>
  <si>
    <t>analyst</t>
    <phoneticPr fontId="3" type="noConversion"/>
  </si>
  <si>
    <t>愤怒</t>
  </si>
  <si>
    <t>anger</t>
    <phoneticPr fontId="3" type="noConversion"/>
  </si>
  <si>
    <t>动物</t>
  </si>
  <si>
    <t>animal</t>
    <phoneticPr fontId="3" type="noConversion"/>
  </si>
  <si>
    <t>足果</t>
  </si>
  <si>
    <t>ankle</t>
    <phoneticPr fontId="3" type="noConversion"/>
  </si>
  <si>
    <t>回答</t>
  </si>
  <si>
    <t>answer</t>
    <phoneticPr fontId="3" type="noConversion"/>
  </si>
  <si>
    <t>南极洲</t>
  </si>
  <si>
    <t>Antarctica</t>
    <phoneticPr fontId="3" type="noConversion"/>
  </si>
  <si>
    <t>猿</t>
  </si>
  <si>
    <t>ape</t>
    <phoneticPr fontId="3" type="noConversion"/>
  </si>
  <si>
    <t>外貌</t>
  </si>
  <si>
    <t>appearance</t>
    <phoneticPr fontId="3" type="noConversion"/>
  </si>
  <si>
    <t>建筑师</t>
  </si>
  <si>
    <t>architect</t>
    <phoneticPr fontId="3" type="noConversion"/>
  </si>
  <si>
    <t>建筑学，建筑物</t>
  </si>
  <si>
    <t>architectures</t>
    <phoneticPr fontId="3" type="noConversion"/>
  </si>
  <si>
    <t>地区，部分</t>
  </si>
  <si>
    <t>area</t>
    <phoneticPr fontId="3" type="noConversion"/>
  </si>
  <si>
    <t>论证</t>
  </si>
  <si>
    <t>argument</t>
    <phoneticPr fontId="3" type="noConversion"/>
  </si>
  <si>
    <t>贵族</t>
  </si>
  <si>
    <t>aristocrat</t>
    <phoneticPr fontId="3" type="noConversion"/>
  </si>
  <si>
    <t>军队</t>
  </si>
  <si>
    <t>army</t>
    <phoneticPr fontId="3" type="noConversion"/>
  </si>
  <si>
    <t>艺术</t>
  </si>
  <si>
    <t>art</t>
    <phoneticPr fontId="3" type="noConversion"/>
  </si>
  <si>
    <t>文章，用品</t>
  </si>
  <si>
    <t>article</t>
    <phoneticPr fontId="3" type="noConversion"/>
  </si>
  <si>
    <t>阿司匹林</t>
  </si>
  <si>
    <t>aspirin</t>
    <phoneticPr fontId="3" type="noConversion"/>
  </si>
  <si>
    <t>作业</t>
  </si>
  <si>
    <t>assignment</t>
    <phoneticPr fontId="3" type="noConversion"/>
  </si>
  <si>
    <t>地图册</t>
  </si>
  <si>
    <t>atlas</t>
    <phoneticPr fontId="3" type="noConversion"/>
  </si>
  <si>
    <t>观众</t>
  </si>
  <si>
    <t>audience</t>
    <phoneticPr fontId="3" type="noConversion"/>
  </si>
  <si>
    <t>礼堂</t>
  </si>
  <si>
    <t>auditorium</t>
    <phoneticPr fontId="3" type="noConversion"/>
  </si>
  <si>
    <t>作者</t>
  </si>
  <si>
    <t>author</t>
    <phoneticPr fontId="3" type="noConversion"/>
  </si>
  <si>
    <t>权威</t>
  </si>
  <si>
    <t>authority</t>
    <phoneticPr fontId="3" type="noConversion"/>
  </si>
  <si>
    <t>平均</t>
  </si>
  <si>
    <t>average</t>
    <phoneticPr fontId="3" type="noConversion"/>
  </si>
  <si>
    <t>奖励</t>
  </si>
  <si>
    <t>award</t>
    <phoneticPr fontId="3" type="noConversion"/>
  </si>
  <si>
    <t>学士</t>
  </si>
  <si>
    <t>bachelor</t>
    <phoneticPr fontId="3" type="noConversion"/>
  </si>
  <si>
    <t>背景</t>
  </si>
  <si>
    <t>background</t>
    <phoneticPr fontId="3" type="noConversion"/>
  </si>
  <si>
    <t>细菌</t>
  </si>
  <si>
    <t>bacteria</t>
    <phoneticPr fontId="3" type="noConversion"/>
  </si>
  <si>
    <t>徽章</t>
  </si>
  <si>
    <t>badge</t>
    <phoneticPr fontId="3" type="noConversion"/>
  </si>
  <si>
    <t>羽毛球</t>
  </si>
  <si>
    <t>badminton</t>
    <phoneticPr fontId="3" type="noConversion"/>
  </si>
  <si>
    <t>自助旅行</t>
  </si>
  <si>
    <t>backpack</t>
    <phoneticPr fontId="3" type="noConversion"/>
  </si>
  <si>
    <t>秃头</t>
  </si>
  <si>
    <t>baldness</t>
    <phoneticPr fontId="3" type="noConversion"/>
  </si>
  <si>
    <t>乐队</t>
  </si>
  <si>
    <t>band</t>
    <phoneticPr fontId="3" type="noConversion"/>
  </si>
  <si>
    <t>绷带</t>
  </si>
  <si>
    <t>bandage</t>
    <phoneticPr fontId="3" type="noConversion"/>
  </si>
  <si>
    <t>bands</t>
    <phoneticPr fontId="3" type="noConversion"/>
  </si>
  <si>
    <t>银行</t>
  </si>
  <si>
    <t>bank</t>
    <phoneticPr fontId="3" type="noConversion"/>
  </si>
  <si>
    <t>宴会</t>
  </si>
  <si>
    <t>banquet</t>
    <phoneticPr fontId="3" type="noConversion"/>
  </si>
  <si>
    <t>基础</t>
  </si>
  <si>
    <t>base</t>
    <phoneticPr fontId="3" type="noConversion"/>
  </si>
  <si>
    <t>地下室</t>
  </si>
  <si>
    <t>basement</t>
    <phoneticPr fontId="3" type="noConversion"/>
  </si>
  <si>
    <t>底部，基地</t>
  </si>
  <si>
    <t>bases</t>
    <phoneticPr fontId="3" type="noConversion"/>
  </si>
  <si>
    <t>basis</t>
    <phoneticPr fontId="3" type="noConversion"/>
  </si>
  <si>
    <t>洗澡</t>
  </si>
  <si>
    <t>bath</t>
    <phoneticPr fontId="3" type="noConversion"/>
  </si>
  <si>
    <t>电池</t>
  </si>
  <si>
    <t>batteries</t>
    <phoneticPr fontId="3" type="noConversion"/>
  </si>
  <si>
    <t>battery</t>
    <phoneticPr fontId="3" type="noConversion"/>
  </si>
  <si>
    <t>海滩</t>
  </si>
  <si>
    <t>beach</t>
    <phoneticPr fontId="3" type="noConversion"/>
  </si>
  <si>
    <t>胡子</t>
  </si>
  <si>
    <t>beard</t>
    <phoneticPr fontId="3" type="noConversion"/>
  </si>
  <si>
    <t>跳动的次数</t>
  </si>
  <si>
    <t>beats</t>
    <phoneticPr fontId="3" type="noConversion"/>
  </si>
  <si>
    <t>美女</t>
  </si>
  <si>
    <t>beauty</t>
    <phoneticPr fontId="3" type="noConversion"/>
  </si>
  <si>
    <t>床</t>
  </si>
  <si>
    <t>bed</t>
    <phoneticPr fontId="3" type="noConversion"/>
  </si>
  <si>
    <t>卧室</t>
  </si>
  <si>
    <t>bedroom</t>
    <phoneticPr fontId="3" type="noConversion"/>
  </si>
  <si>
    <t>床单</t>
  </si>
  <si>
    <t>bed sheet</t>
    <phoneticPr fontId="3" type="noConversion"/>
  </si>
  <si>
    <t>小套房</t>
  </si>
  <si>
    <t>bedsit</t>
    <phoneticPr fontId="3" type="noConversion"/>
  </si>
  <si>
    <t>行为态度</t>
  </si>
  <si>
    <t>behaviors</t>
    <phoneticPr fontId="3" type="noConversion"/>
  </si>
  <si>
    <t>带子</t>
  </si>
  <si>
    <t>belt</t>
    <phoneticPr fontId="3" type="noConversion"/>
  </si>
  <si>
    <t>优势</t>
  </si>
  <si>
    <t>benefit</t>
    <phoneticPr fontId="3" type="noConversion"/>
  </si>
  <si>
    <t>软饮料</t>
  </si>
  <si>
    <t>beverage</t>
    <phoneticPr fontId="3" type="noConversion"/>
  </si>
  <si>
    <t>参考书目</t>
  </si>
  <si>
    <t>bibliography</t>
    <phoneticPr fontId="3" type="noConversion"/>
  </si>
  <si>
    <t>自行车</t>
  </si>
  <si>
    <t>bicycle</t>
    <phoneticPr fontId="3" type="noConversion"/>
  </si>
  <si>
    <t>账单</t>
  </si>
  <si>
    <t>bill</t>
    <phoneticPr fontId="3" type="noConversion"/>
  </si>
  <si>
    <t>生物学家</t>
  </si>
  <si>
    <t>biologist</t>
    <phoneticPr fontId="3" type="noConversion"/>
  </si>
  <si>
    <t>鸟类</t>
  </si>
  <si>
    <t>bird</t>
    <phoneticPr fontId="3" type="noConversion"/>
  </si>
  <si>
    <t>出生</t>
  </si>
  <si>
    <t>birth</t>
    <phoneticPr fontId="3" type="noConversion"/>
  </si>
  <si>
    <t>毯子</t>
  </si>
  <si>
    <t>blanket</t>
    <phoneticPr fontId="3" type="noConversion"/>
  </si>
  <si>
    <t>爆炸</t>
  </si>
  <si>
    <t>blast</t>
    <phoneticPr fontId="3" type="noConversion"/>
  </si>
  <si>
    <t>街区</t>
  </si>
  <si>
    <t>block</t>
    <phoneticPr fontId="3" type="noConversion"/>
  </si>
  <si>
    <t>女士衬衫</t>
  </si>
  <si>
    <t>blouse</t>
    <phoneticPr fontId="3" type="noConversion"/>
  </si>
  <si>
    <t>木板，董事会</t>
  </si>
  <si>
    <t>board</t>
    <phoneticPr fontId="3" type="noConversion"/>
  </si>
  <si>
    <t>住校的学生</t>
  </si>
  <si>
    <t>boarder</t>
    <phoneticPr fontId="3" type="noConversion"/>
  </si>
  <si>
    <t>船</t>
  </si>
  <si>
    <t>boat</t>
    <phoneticPr fontId="3" type="noConversion"/>
  </si>
  <si>
    <t>骨头</t>
  </si>
  <si>
    <t>bone</t>
    <phoneticPr fontId="3" type="noConversion"/>
  </si>
  <si>
    <t>碗</t>
  </si>
  <si>
    <t>bowl</t>
    <phoneticPr fontId="3" type="noConversion"/>
  </si>
  <si>
    <t>保龄球</t>
  </si>
  <si>
    <t>bowling</t>
    <phoneticPr fontId="3" type="noConversion"/>
  </si>
  <si>
    <t>分支，分部</t>
  </si>
  <si>
    <t>branch</t>
    <phoneticPr fontId="3" type="noConversion"/>
  </si>
  <si>
    <t>早餐</t>
  </si>
  <si>
    <t>breakfast</t>
    <phoneticPr fontId="3" type="noConversion"/>
  </si>
  <si>
    <t>砖</t>
  </si>
  <si>
    <t>brick</t>
    <phoneticPr fontId="3" type="noConversion"/>
  </si>
  <si>
    <t>桥</t>
  </si>
  <si>
    <t>bridge</t>
    <phoneticPr fontId="3" type="noConversion"/>
  </si>
  <si>
    <t>小册子</t>
  </si>
  <si>
    <t>brochures</t>
    <phoneticPr fontId="3" type="noConversion"/>
  </si>
  <si>
    <t>建筑物</t>
  </si>
  <si>
    <t>building</t>
    <phoneticPr fontId="3" type="noConversion"/>
  </si>
  <si>
    <t>平房</t>
  </si>
  <si>
    <t>bungalow</t>
    <phoneticPr fontId="3" type="noConversion"/>
  </si>
  <si>
    <t>汉堡</t>
  </si>
  <si>
    <t>burger</t>
    <phoneticPr fontId="3" type="noConversion"/>
  </si>
  <si>
    <t>夜盗</t>
  </si>
  <si>
    <t>burglar</t>
    <phoneticPr fontId="3" type="noConversion"/>
  </si>
  <si>
    <t>公共汽车</t>
  </si>
  <si>
    <t>bus</t>
    <phoneticPr fontId="3" type="noConversion"/>
  </si>
  <si>
    <t>出租车</t>
  </si>
  <si>
    <t>cab</t>
    <phoneticPr fontId="3" type="noConversion"/>
  </si>
  <si>
    <t>Chapter3 Test Paper 2</t>
    <phoneticPr fontId="3" type="noConversion"/>
  </si>
  <si>
    <t>橱柜</t>
  </si>
  <si>
    <t>cabinet</t>
    <phoneticPr fontId="3" type="noConversion"/>
  </si>
  <si>
    <t>电缆，有线电视</t>
  </si>
  <si>
    <t>cable</t>
    <phoneticPr fontId="3" type="noConversion"/>
  </si>
  <si>
    <t>咖啡厅</t>
  </si>
  <si>
    <t>cafe</t>
    <phoneticPr fontId="3" type="noConversion"/>
  </si>
  <si>
    <t>咖啡店</t>
  </si>
  <si>
    <t>cafeteria</t>
    <phoneticPr fontId="3" type="noConversion"/>
  </si>
  <si>
    <t>笼子</t>
  </si>
  <si>
    <t>cage</t>
    <phoneticPr fontId="3" type="noConversion"/>
  </si>
  <si>
    <t>剑桥</t>
  </si>
  <si>
    <t>Cambridge</t>
    <phoneticPr fontId="3" type="noConversion"/>
  </si>
  <si>
    <t>骆驼</t>
  </si>
  <si>
    <t>camel</t>
    <phoneticPr fontId="3" type="noConversion"/>
  </si>
  <si>
    <t>相机</t>
  </si>
  <si>
    <t>camera</t>
    <phoneticPr fontId="3" type="noConversion"/>
  </si>
  <si>
    <t>露营</t>
  </si>
  <si>
    <t>camp</t>
    <phoneticPr fontId="3" type="noConversion"/>
  </si>
  <si>
    <t>校园</t>
  </si>
  <si>
    <t>campus</t>
    <phoneticPr fontId="3" type="noConversion"/>
  </si>
  <si>
    <t>候选人</t>
  </si>
  <si>
    <t>candidate</t>
    <phoneticPr fontId="3" type="noConversion"/>
  </si>
  <si>
    <t>蜡烛</t>
  </si>
  <si>
    <t>candle</t>
    <phoneticPr fontId="3" type="noConversion"/>
  </si>
  <si>
    <t>食堂</t>
  </si>
  <si>
    <t>canteen</t>
    <phoneticPr fontId="3" type="noConversion"/>
  </si>
  <si>
    <t>资金，首都</t>
  </si>
  <si>
    <t>capital</t>
    <phoneticPr fontId="3" type="noConversion"/>
  </si>
  <si>
    <t>胶囊</t>
  </si>
  <si>
    <t>capsule</t>
    <phoneticPr fontId="3" type="noConversion"/>
  </si>
  <si>
    <t>碳</t>
  </si>
  <si>
    <t>carbon</t>
    <phoneticPr fontId="3" type="noConversion"/>
  </si>
  <si>
    <t>关注，照顾</t>
  </si>
  <si>
    <t>care</t>
    <phoneticPr fontId="3" type="noConversion"/>
  </si>
  <si>
    <t>事业</t>
  </si>
  <si>
    <t>career</t>
    <phoneticPr fontId="3" type="noConversion"/>
  </si>
  <si>
    <t>地毯</t>
  </si>
  <si>
    <t>carpet</t>
    <phoneticPr fontId="3" type="noConversion"/>
  </si>
  <si>
    <t>雕刻</t>
  </si>
  <si>
    <t>carving</t>
    <phoneticPr fontId="3" type="noConversion"/>
  </si>
  <si>
    <t>出纳员</t>
  </si>
  <si>
    <t>cashier</t>
    <phoneticPr fontId="3" type="noConversion"/>
  </si>
  <si>
    <t>城堡</t>
  </si>
  <si>
    <t>castle</t>
    <phoneticPr fontId="3" type="noConversion"/>
  </si>
  <si>
    <t>种类</t>
  </si>
  <si>
    <t>category</t>
    <phoneticPr fontId="3" type="noConversion"/>
  </si>
  <si>
    <t>大教堂</t>
  </si>
  <si>
    <t>cathedral</t>
    <phoneticPr fontId="3" type="noConversion"/>
  </si>
  <si>
    <t>起因</t>
  </si>
  <si>
    <t>cause</t>
    <phoneticPr fontId="3" type="noConversion"/>
  </si>
  <si>
    <t>洞穴</t>
  </si>
  <si>
    <t>cave</t>
    <phoneticPr fontId="3" type="noConversion"/>
  </si>
  <si>
    <t>分</t>
  </si>
  <si>
    <t>cents</t>
    <phoneticPr fontId="3" type="noConversion"/>
  </si>
  <si>
    <t>世纪</t>
  </si>
  <si>
    <t>century</t>
    <phoneticPr fontId="3" type="noConversion"/>
  </si>
  <si>
    <t>证书</t>
  </si>
  <si>
    <t>certificate</t>
    <phoneticPr fontId="3" type="noConversion"/>
  </si>
  <si>
    <t>椅子</t>
  </si>
  <si>
    <t>chair</t>
    <phoneticPr fontId="3" type="noConversion"/>
  </si>
  <si>
    <t>机会</t>
  </si>
  <si>
    <t>chance</t>
    <phoneticPr fontId="3" type="noConversion"/>
  </si>
  <si>
    <t>大学校长</t>
  </si>
  <si>
    <t>chancellor</t>
    <phoneticPr fontId="3" type="noConversion"/>
  </si>
  <si>
    <t>海峡</t>
  </si>
  <si>
    <t>channel</t>
    <phoneticPr fontId="3" type="noConversion"/>
  </si>
  <si>
    <t>章节</t>
  </si>
  <si>
    <t>chapter</t>
    <phoneticPr fontId="3" type="noConversion"/>
  </si>
  <si>
    <t>品质，特性</t>
  </si>
  <si>
    <t>character</t>
    <phoneticPr fontId="3" type="noConversion"/>
  </si>
  <si>
    <t>收费</t>
  </si>
  <si>
    <t>charge</t>
    <phoneticPr fontId="3" type="noConversion"/>
  </si>
  <si>
    <t>慈善</t>
  </si>
  <si>
    <t>charity</t>
    <phoneticPr fontId="3" type="noConversion"/>
  </si>
  <si>
    <t>图表</t>
  </si>
  <si>
    <t>chart</t>
    <phoneticPr fontId="3" type="noConversion"/>
  </si>
  <si>
    <t>聊天</t>
  </si>
  <si>
    <t>chat</t>
    <phoneticPr fontId="3" type="noConversion"/>
  </si>
  <si>
    <t>核对清单</t>
  </si>
  <si>
    <t>checklist</t>
    <phoneticPr fontId="3" type="noConversion"/>
  </si>
  <si>
    <t>核对支票</t>
  </si>
  <si>
    <t>checks</t>
    <phoneticPr fontId="3" type="noConversion"/>
  </si>
  <si>
    <t>奶酪</t>
  </si>
  <si>
    <t>cheese</t>
    <phoneticPr fontId="3" type="noConversion"/>
  </si>
  <si>
    <t>药店</t>
  </si>
  <si>
    <t>chemist's</t>
    <phoneticPr fontId="3" type="noConversion"/>
  </si>
  <si>
    <t>胸部</t>
  </si>
  <si>
    <t>chest</t>
    <phoneticPr fontId="3" type="noConversion"/>
  </si>
  <si>
    <t>小鸡</t>
  </si>
  <si>
    <t>chick</t>
    <phoneticPr fontId="3" type="noConversion"/>
  </si>
  <si>
    <t>鸡肉</t>
  </si>
  <si>
    <t>chicken</t>
    <phoneticPr fontId="3" type="noConversion"/>
  </si>
  <si>
    <t>儿童</t>
  </si>
  <si>
    <t>child</t>
    <phoneticPr fontId="3" type="noConversion"/>
  </si>
  <si>
    <t>下巴</t>
  </si>
  <si>
    <t>chin</t>
    <phoneticPr fontId="3" type="noConversion"/>
  </si>
  <si>
    <t>巧克力</t>
  </si>
  <si>
    <t>chocolate</t>
    <phoneticPr fontId="3" type="noConversion"/>
  </si>
  <si>
    <t>选择</t>
  </si>
  <si>
    <t>choice</t>
    <phoneticPr fontId="3" type="noConversion"/>
  </si>
  <si>
    <t>教堂</t>
  </si>
  <si>
    <t>church</t>
    <phoneticPr fontId="3" type="noConversion"/>
  </si>
  <si>
    <t>电影院</t>
  </si>
  <si>
    <t>cinema</t>
    <phoneticPr fontId="3" type="noConversion"/>
  </si>
  <si>
    <t>圆</t>
  </si>
  <si>
    <t>circle</t>
    <phoneticPr fontId="3" type="noConversion"/>
  </si>
  <si>
    <t>城市</t>
  </si>
  <si>
    <t>city</t>
    <phoneticPr fontId="3" type="noConversion"/>
  </si>
  <si>
    <t>清楚</t>
  </si>
  <si>
    <t>clarity</t>
    <phoneticPr fontId="3" type="noConversion"/>
  </si>
  <si>
    <t>清洁工</t>
  </si>
  <si>
    <t>cleaner</t>
    <phoneticPr fontId="3" type="noConversion"/>
  </si>
  <si>
    <t>清洁</t>
  </si>
  <si>
    <t>cleaning</t>
    <phoneticPr fontId="3" type="noConversion"/>
  </si>
  <si>
    <t>客户</t>
  </si>
  <si>
    <t>client</t>
    <phoneticPr fontId="3" type="noConversion"/>
  </si>
  <si>
    <t>悬崖，峭壁</t>
  </si>
  <si>
    <t>cliffs</t>
    <phoneticPr fontId="3" type="noConversion"/>
  </si>
  <si>
    <t>天气</t>
  </si>
  <si>
    <t>climate</t>
    <phoneticPr fontId="3" type="noConversion"/>
  </si>
  <si>
    <t>诊所</t>
  </si>
  <si>
    <t>clinic</t>
    <phoneticPr fontId="3" type="noConversion"/>
  </si>
  <si>
    <t>钟</t>
  </si>
  <si>
    <t>clock</t>
    <phoneticPr fontId="3" type="noConversion"/>
  </si>
  <si>
    <t>布</t>
  </si>
  <si>
    <t>cloth</t>
    <phoneticPr fontId="3" type="noConversion"/>
  </si>
  <si>
    <t>服装</t>
  </si>
  <si>
    <t>clothing</t>
    <phoneticPr fontId="3" type="noConversion"/>
  </si>
  <si>
    <t>俱乐部</t>
  </si>
  <si>
    <t>club</t>
    <phoneticPr fontId="3" type="noConversion"/>
  </si>
  <si>
    <t>长途汽车</t>
  </si>
  <si>
    <t>coach</t>
    <phoneticPr fontId="3" type="noConversion"/>
  </si>
  <si>
    <t>海边</t>
  </si>
  <si>
    <t>coast</t>
    <phoneticPr fontId="3" type="noConversion"/>
  </si>
  <si>
    <t>密码，代码</t>
  </si>
  <si>
    <t>code</t>
    <phoneticPr fontId="3" type="noConversion"/>
  </si>
  <si>
    <t>可乐</t>
  </si>
  <si>
    <t>coke</t>
    <phoneticPr fontId="3" type="noConversion"/>
  </si>
  <si>
    <t>cola</t>
    <phoneticPr fontId="3" type="noConversion"/>
  </si>
  <si>
    <t>同事</t>
  </si>
  <si>
    <t>colleague</t>
    <phoneticPr fontId="3" type="noConversion"/>
  </si>
  <si>
    <t>学院</t>
  </si>
  <si>
    <t>college</t>
    <phoneticPr fontId="3" type="noConversion"/>
  </si>
  <si>
    <t>喜剧片</t>
  </si>
  <si>
    <t>comedy</t>
    <phoneticPr fontId="3" type="noConversion"/>
  </si>
  <si>
    <t>commercials</t>
    <phoneticPr fontId="3" type="noConversion"/>
  </si>
  <si>
    <t>通勤者</t>
  </si>
  <si>
    <t>commuter</t>
    <phoneticPr fontId="3" type="noConversion"/>
  </si>
  <si>
    <t>同伴</t>
  </si>
  <si>
    <t>companion</t>
    <phoneticPr fontId="3" type="noConversion"/>
  </si>
  <si>
    <t>公司，陪伴</t>
  </si>
  <si>
    <t>company</t>
    <phoneticPr fontId="3" type="noConversion"/>
  </si>
  <si>
    <t>抱怨</t>
  </si>
  <si>
    <t>complaint</t>
    <phoneticPr fontId="3" type="noConversion"/>
  </si>
  <si>
    <t>建筑群或街区</t>
  </si>
  <si>
    <t>complex</t>
    <phoneticPr fontId="3" type="noConversion"/>
  </si>
  <si>
    <t>电脑</t>
  </si>
  <si>
    <t>computer</t>
    <phoneticPr fontId="3" type="noConversion"/>
  </si>
  <si>
    <t>音乐会</t>
  </si>
  <si>
    <t>concert</t>
    <phoneticPr fontId="3" type="noConversion"/>
  </si>
  <si>
    <t>结论</t>
  </si>
  <si>
    <t>conclusion</t>
    <phoneticPr fontId="3" type="noConversion"/>
  </si>
  <si>
    <t>状况，条件</t>
  </si>
  <si>
    <t>condition</t>
    <phoneticPr fontId="3" type="noConversion"/>
  </si>
  <si>
    <t>会议</t>
  </si>
  <si>
    <t>conferences</t>
    <phoneticPr fontId="3" type="noConversion"/>
  </si>
  <si>
    <t>自信</t>
  </si>
  <si>
    <t>confidence</t>
    <phoneticPr fontId="3" type="noConversion"/>
  </si>
  <si>
    <t>证实，确认</t>
  </si>
  <si>
    <t>confirmation</t>
    <phoneticPr fontId="3" type="noConversion"/>
  </si>
  <si>
    <t>拥挤</t>
  </si>
  <si>
    <t>congestion</t>
    <phoneticPr fontId="3" type="noConversion"/>
  </si>
  <si>
    <t>征服者</t>
  </si>
  <si>
    <t>conqueror</t>
    <phoneticPr fontId="3" type="noConversion"/>
  </si>
  <si>
    <t>征服</t>
  </si>
  <si>
    <t>conquest</t>
    <phoneticPr fontId="3" type="noConversion"/>
  </si>
  <si>
    <t>对话</t>
  </si>
  <si>
    <t>conversation</t>
    <phoneticPr fontId="3" type="noConversion"/>
  </si>
  <si>
    <t>保留，保护区</t>
  </si>
  <si>
    <t>conservation</t>
    <phoneticPr fontId="3" type="noConversion"/>
  </si>
  <si>
    <t>建设</t>
  </si>
  <si>
    <t>construction</t>
    <phoneticPr fontId="3" type="noConversion"/>
  </si>
  <si>
    <t>咨询者，顾问</t>
  </si>
  <si>
    <t>consultant</t>
    <phoneticPr fontId="3" type="noConversion"/>
  </si>
  <si>
    <t>消费</t>
  </si>
  <si>
    <t>consumption</t>
    <phoneticPr fontId="3" type="noConversion"/>
  </si>
  <si>
    <t>接触</t>
  </si>
  <si>
    <t>contact</t>
    <phoneticPr fontId="3" type="noConversion"/>
  </si>
  <si>
    <t>容器</t>
  </si>
  <si>
    <t>container</t>
    <phoneticPr fontId="3" type="noConversion"/>
  </si>
  <si>
    <t>污染物</t>
  </si>
  <si>
    <t>contaminants</t>
    <phoneticPr fontId="3" type="noConversion"/>
  </si>
  <si>
    <t>污染</t>
  </si>
  <si>
    <t>contamination</t>
    <phoneticPr fontId="3" type="noConversion"/>
  </si>
  <si>
    <t>内容</t>
  </si>
  <si>
    <t>content</t>
    <phoneticPr fontId="3" type="noConversion"/>
  </si>
  <si>
    <t>洲</t>
  </si>
  <si>
    <t>continent</t>
    <phoneticPr fontId="3" type="noConversion"/>
  </si>
  <si>
    <t>合同</t>
  </si>
  <si>
    <t>contract</t>
    <phoneticPr fontId="3" type="noConversion"/>
  </si>
  <si>
    <t>合同，契约</t>
  </si>
  <si>
    <t>contracts</t>
    <phoneticPr fontId="3" type="noConversion"/>
  </si>
  <si>
    <t>争议</t>
  </si>
  <si>
    <t>controversy</t>
    <phoneticPr fontId="3" type="noConversion"/>
  </si>
  <si>
    <t>方便，便利</t>
  </si>
  <si>
    <t>convenience</t>
    <phoneticPr fontId="3" type="noConversion"/>
  </si>
  <si>
    <t>合作，协力</t>
  </si>
  <si>
    <t>cooperations</t>
    <phoneticPr fontId="3" type="noConversion"/>
  </si>
  <si>
    <t>警察</t>
  </si>
  <si>
    <t>cop</t>
    <phoneticPr fontId="3" type="noConversion"/>
  </si>
  <si>
    <t>复印</t>
  </si>
  <si>
    <t>copy</t>
    <phoneticPr fontId="3" type="noConversion"/>
  </si>
  <si>
    <t>公司</t>
  </si>
  <si>
    <t>corporation</t>
    <phoneticPr fontId="3" type="noConversion"/>
  </si>
  <si>
    <t>尸体</t>
  </si>
  <si>
    <t>corpse</t>
    <phoneticPr fontId="3" type="noConversion"/>
  </si>
  <si>
    <t>写信</t>
  </si>
  <si>
    <t>correspondence</t>
    <phoneticPr fontId="3" type="noConversion"/>
  </si>
  <si>
    <t>成本，花费</t>
  </si>
  <si>
    <t>cost</t>
    <phoneticPr fontId="3" type="noConversion"/>
  </si>
  <si>
    <t>costume</t>
    <phoneticPr fontId="3" type="noConversion"/>
  </si>
  <si>
    <t>轻便小床</t>
  </si>
  <si>
    <t>cot</t>
    <phoneticPr fontId="3" type="noConversion"/>
  </si>
  <si>
    <t>农舍，小屋</t>
  </si>
  <si>
    <t>cottage</t>
    <phoneticPr fontId="3" type="noConversion"/>
  </si>
  <si>
    <t>咳嗽</t>
  </si>
  <si>
    <t>cough</t>
    <phoneticPr fontId="3" type="noConversion"/>
  </si>
  <si>
    <t>委员会</t>
  </si>
  <si>
    <t>council</t>
    <phoneticPr fontId="3" type="noConversion"/>
  </si>
  <si>
    <t>国家，乡村</t>
  </si>
  <si>
    <t>country</t>
    <phoneticPr fontId="3" type="noConversion"/>
  </si>
  <si>
    <t>课程</t>
  </si>
  <si>
    <t>course</t>
    <phoneticPr fontId="3" type="noConversion"/>
  </si>
  <si>
    <t>裂缝</t>
  </si>
  <si>
    <t>crack</t>
    <phoneticPr fontId="3" type="noConversion"/>
  </si>
  <si>
    <t>手艺</t>
  </si>
  <si>
    <t>craft</t>
    <phoneticPr fontId="3" type="noConversion"/>
  </si>
  <si>
    <t>奶油，药膏</t>
  </si>
  <si>
    <t>cream</t>
    <phoneticPr fontId="3" type="noConversion"/>
  </si>
  <si>
    <t>信用，信誉</t>
  </si>
  <si>
    <t>credit</t>
    <phoneticPr fontId="3" type="noConversion"/>
  </si>
  <si>
    <t>小溪</t>
  </si>
  <si>
    <t>creek</t>
    <phoneticPr fontId="3" type="noConversion"/>
  </si>
  <si>
    <t>犯罪</t>
  </si>
  <si>
    <t>crime</t>
    <phoneticPr fontId="3" type="noConversion"/>
  </si>
  <si>
    <t>危机</t>
  </si>
  <si>
    <t>crisis</t>
    <phoneticPr fontId="3" type="noConversion"/>
  </si>
  <si>
    <t>鳄鱼</t>
  </si>
  <si>
    <t>crocodile</t>
    <phoneticPr fontId="3" type="noConversion"/>
  </si>
  <si>
    <t>庄稼</t>
  </si>
  <si>
    <t>crop</t>
    <phoneticPr fontId="3" type="noConversion"/>
  </si>
  <si>
    <t>培育</t>
  </si>
  <si>
    <t>cultivation</t>
    <phoneticPr fontId="3" type="noConversion"/>
  </si>
  <si>
    <t>文化</t>
  </si>
  <si>
    <t>culture</t>
    <phoneticPr fontId="3" type="noConversion"/>
  </si>
  <si>
    <t>杯子</t>
  </si>
  <si>
    <t>cup</t>
    <phoneticPr fontId="3" type="noConversion"/>
  </si>
  <si>
    <t>cupboard</t>
    <phoneticPr fontId="3" type="noConversion"/>
  </si>
  <si>
    <t>窗帘</t>
  </si>
  <si>
    <t>curtain</t>
    <phoneticPr fontId="3" type="noConversion"/>
  </si>
  <si>
    <t>顾客</t>
  </si>
  <si>
    <t>customer</t>
    <phoneticPr fontId="3" type="noConversion"/>
  </si>
  <si>
    <t>餐具</t>
  </si>
  <si>
    <t>cutlery</t>
    <phoneticPr fontId="3" type="noConversion"/>
  </si>
  <si>
    <t>循环，自行车</t>
  </si>
  <si>
    <t>cycle</t>
    <phoneticPr fontId="3" type="noConversion"/>
  </si>
  <si>
    <t>骑自行车</t>
  </si>
  <si>
    <t>cycling</t>
    <phoneticPr fontId="3" type="noConversion"/>
  </si>
  <si>
    <t>毁坏</t>
  </si>
  <si>
    <t>damage</t>
    <phoneticPr fontId="3" type="noConversion"/>
  </si>
  <si>
    <t>危险</t>
  </si>
  <si>
    <t>danger</t>
    <phoneticPr fontId="3" type="noConversion"/>
  </si>
  <si>
    <t>数据</t>
  </si>
  <si>
    <t>data</t>
    <phoneticPr fontId="3" type="noConversion"/>
  </si>
  <si>
    <t>日期</t>
  </si>
  <si>
    <t>date</t>
    <phoneticPr fontId="3" type="noConversion"/>
  </si>
  <si>
    <t>日</t>
  </si>
  <si>
    <t>day</t>
    <phoneticPr fontId="3" type="noConversion"/>
  </si>
  <si>
    <t>截止期限</t>
  </si>
  <si>
    <t>deadline</t>
    <phoneticPr fontId="3" type="noConversion"/>
  </si>
  <si>
    <t>辩论</t>
  </si>
  <si>
    <t>debate</t>
    <phoneticPr fontId="3" type="noConversion"/>
  </si>
  <si>
    <t>Chapter3 Test Paper 3</t>
    <phoneticPr fontId="3" type="noConversion"/>
  </si>
  <si>
    <t>债务</t>
  </si>
  <si>
    <t>debt</t>
    <phoneticPr fontId="3" type="noConversion"/>
  </si>
  <si>
    <t>十年</t>
  </si>
  <si>
    <t>decade</t>
    <phoneticPr fontId="3" type="noConversion"/>
  </si>
  <si>
    <t>决定</t>
  </si>
  <si>
    <t>decision</t>
    <phoneticPr fontId="3" type="noConversion"/>
  </si>
  <si>
    <t>下降</t>
  </si>
  <si>
    <t>decline</t>
    <phoneticPr fontId="3" type="noConversion"/>
  </si>
  <si>
    <t>装饰</t>
  </si>
  <si>
    <t>decorations</t>
    <phoneticPr fontId="3" type="noConversion"/>
  </si>
  <si>
    <t>耽搁</t>
  </si>
  <si>
    <t>delay</t>
    <phoneticPr fontId="3" type="noConversion"/>
  </si>
  <si>
    <t>代表</t>
  </si>
  <si>
    <t>delegate</t>
    <phoneticPr fontId="3" type="noConversion"/>
  </si>
  <si>
    <t>高兴</t>
  </si>
  <si>
    <t>delight</t>
    <phoneticPr fontId="3" type="noConversion"/>
  </si>
  <si>
    <t>发送，送货</t>
  </si>
  <si>
    <t>delivery</t>
    <phoneticPr fontId="3" type="noConversion"/>
  </si>
  <si>
    <t>示威，演示</t>
  </si>
  <si>
    <t>demonstration</t>
    <phoneticPr fontId="3" type="noConversion"/>
  </si>
  <si>
    <t>牙医</t>
  </si>
  <si>
    <t>dentist</t>
    <phoneticPr fontId="3" type="noConversion"/>
  </si>
  <si>
    <t>系，商店</t>
  </si>
  <si>
    <t>department</t>
    <phoneticPr fontId="3" type="noConversion"/>
  </si>
  <si>
    <t>押金</t>
  </si>
  <si>
    <t>deposit</t>
    <phoneticPr fontId="3" type="noConversion"/>
  </si>
  <si>
    <t>深度</t>
  </si>
  <si>
    <t>depth</t>
    <phoneticPr fontId="3" type="noConversion"/>
  </si>
  <si>
    <t>描述</t>
  </si>
  <si>
    <t>description</t>
    <phoneticPr fontId="3" type="noConversion"/>
  </si>
  <si>
    <t>沙漠</t>
  </si>
  <si>
    <t>desert</t>
    <phoneticPr fontId="3" type="noConversion"/>
  </si>
  <si>
    <t>设计</t>
  </si>
  <si>
    <t>design</t>
    <phoneticPr fontId="3" type="noConversion"/>
  </si>
  <si>
    <t>设计师</t>
  </si>
  <si>
    <t>designer</t>
    <phoneticPr fontId="3" type="noConversion"/>
  </si>
  <si>
    <t>欲望</t>
  </si>
  <si>
    <t>desire</t>
    <phoneticPr fontId="3" type="noConversion"/>
  </si>
  <si>
    <t>书桌</t>
  </si>
  <si>
    <t>desks</t>
    <phoneticPr fontId="3" type="noConversion"/>
  </si>
  <si>
    <t>目的地</t>
  </si>
  <si>
    <t>destination</t>
    <phoneticPr fontId="3" type="noConversion"/>
  </si>
  <si>
    <t>细节</t>
  </si>
  <si>
    <t>detail</t>
    <phoneticPr fontId="3" type="noConversion"/>
  </si>
  <si>
    <t>日记</t>
  </si>
  <si>
    <t>diary</t>
    <phoneticPr fontId="3" type="noConversion"/>
  </si>
  <si>
    <t>听写</t>
  </si>
  <si>
    <t>dictation</t>
    <phoneticPr fontId="3" type="noConversion"/>
  </si>
  <si>
    <t>饮食</t>
  </si>
  <si>
    <t>diet</t>
    <phoneticPr fontId="3" type="noConversion"/>
  </si>
  <si>
    <t>吃饭</t>
  </si>
  <si>
    <t>dining</t>
    <phoneticPr fontId="3" type="noConversion"/>
  </si>
  <si>
    <t>晚餐，正餐</t>
  </si>
  <si>
    <t>dinner</t>
    <phoneticPr fontId="3" type="noConversion"/>
  </si>
  <si>
    <t>二氧化物</t>
  </si>
  <si>
    <t>dioxide</t>
    <phoneticPr fontId="3" type="noConversion"/>
  </si>
  <si>
    <t>方向</t>
  </si>
  <si>
    <t>direction</t>
    <phoneticPr fontId="3" type="noConversion"/>
  </si>
  <si>
    <t>主管，导演</t>
  </si>
  <si>
    <t>director</t>
    <phoneticPr fontId="3" type="noConversion"/>
  </si>
  <si>
    <t>不同意</t>
  </si>
  <si>
    <t>disagreement</t>
    <phoneticPr fontId="3" type="noConversion"/>
  </si>
  <si>
    <t>灾难片</t>
  </si>
  <si>
    <t>disaster</t>
    <phoneticPr fontId="3" type="noConversion"/>
  </si>
  <si>
    <t>纪律，学科</t>
  </si>
  <si>
    <t>discipline</t>
    <phoneticPr fontId="3" type="noConversion"/>
  </si>
  <si>
    <t>迪斯科</t>
  </si>
  <si>
    <t>disco</t>
    <phoneticPr fontId="3" type="noConversion"/>
  </si>
  <si>
    <t>不适的地方</t>
  </si>
  <si>
    <t>discomfort</t>
    <phoneticPr fontId="3" type="noConversion"/>
  </si>
  <si>
    <t>discos</t>
    <phoneticPr fontId="3" type="noConversion"/>
  </si>
  <si>
    <t>打折</t>
  </si>
  <si>
    <t>discount</t>
    <phoneticPr fontId="3" type="noConversion"/>
  </si>
  <si>
    <t>发现</t>
  </si>
  <si>
    <t>discovery</t>
    <phoneticPr fontId="3" type="noConversion"/>
  </si>
  <si>
    <t>疾病</t>
  </si>
  <si>
    <t>disease</t>
    <phoneticPr fontId="3" type="noConversion"/>
  </si>
  <si>
    <t>菜</t>
  </si>
  <si>
    <t>dish</t>
    <phoneticPr fontId="3" type="noConversion"/>
  </si>
  <si>
    <t>处理</t>
  </si>
  <si>
    <t>disposal</t>
    <phoneticPr fontId="3" type="noConversion"/>
  </si>
  <si>
    <t>争端</t>
  </si>
  <si>
    <t>dispute</t>
    <phoneticPr fontId="3" type="noConversion"/>
  </si>
  <si>
    <t>距离</t>
  </si>
  <si>
    <t>distance</t>
    <phoneticPr fontId="3" type="noConversion"/>
  </si>
  <si>
    <t>离婚</t>
  </si>
  <si>
    <t>divorce</t>
    <phoneticPr fontId="3" type="noConversion"/>
  </si>
  <si>
    <t>文件</t>
  </si>
  <si>
    <t>document</t>
    <phoneticPr fontId="3" type="noConversion"/>
  </si>
  <si>
    <t>纪录片</t>
  </si>
  <si>
    <t>documentary</t>
    <phoneticPr fontId="3" type="noConversion"/>
  </si>
  <si>
    <t>捐款</t>
  </si>
  <si>
    <t>donation</t>
    <phoneticPr fontId="3" type="noConversion"/>
  </si>
  <si>
    <t>驴</t>
  </si>
  <si>
    <t>donkey</t>
    <phoneticPr fontId="3" type="noConversion"/>
  </si>
  <si>
    <t>草稿，汇票</t>
  </si>
  <si>
    <t>drafts</t>
    <phoneticPr fontId="3" type="noConversion"/>
  </si>
  <si>
    <t>戏剧</t>
  </si>
  <si>
    <t>drama</t>
    <phoneticPr fontId="3" type="noConversion"/>
  </si>
  <si>
    <t>绘图</t>
  </si>
  <si>
    <t>draw</t>
    <phoneticPr fontId="3" type="noConversion"/>
  </si>
  <si>
    <t>抽屉</t>
  </si>
  <si>
    <t>drawer</t>
    <phoneticPr fontId="3" type="noConversion"/>
  </si>
  <si>
    <t>饮料</t>
  </si>
  <si>
    <t>drink</t>
    <phoneticPr fontId="3" type="noConversion"/>
  </si>
  <si>
    <t>饮水</t>
  </si>
  <si>
    <t>drinking</t>
    <phoneticPr fontId="3" type="noConversion"/>
  </si>
  <si>
    <t>司机</t>
  </si>
  <si>
    <t>driver</t>
    <phoneticPr fontId="3" type="noConversion"/>
  </si>
  <si>
    <t>开车</t>
  </si>
  <si>
    <t>driving</t>
    <phoneticPr fontId="3" type="noConversion"/>
  </si>
  <si>
    <t>药品</t>
  </si>
  <si>
    <t>drug</t>
    <phoneticPr fontId="3" type="noConversion"/>
  </si>
  <si>
    <t>鼓</t>
  </si>
  <si>
    <t>drum</t>
    <phoneticPr fontId="3" type="noConversion"/>
  </si>
  <si>
    <t>应付款</t>
  </si>
  <si>
    <t>due</t>
    <phoneticPr fontId="3" type="noConversion"/>
  </si>
  <si>
    <t>持续</t>
  </si>
  <si>
    <t>duration</t>
    <phoneticPr fontId="3" type="noConversion"/>
  </si>
  <si>
    <t>灰尘</t>
  </si>
  <si>
    <t>dust</t>
    <phoneticPr fontId="3" type="noConversion"/>
  </si>
  <si>
    <t>责任</t>
  </si>
  <si>
    <t>duty</t>
    <phoneticPr fontId="3" type="noConversion"/>
  </si>
  <si>
    <t>鹰</t>
  </si>
  <si>
    <t>eagle</t>
    <phoneticPr fontId="3" type="noConversion"/>
  </si>
  <si>
    <t>耳朵</t>
  </si>
  <si>
    <t>ear</t>
    <phoneticPr fontId="3" type="noConversion"/>
  </si>
  <si>
    <t>东部</t>
  </si>
  <si>
    <t>east</t>
    <phoneticPr fontId="3" type="noConversion"/>
  </si>
  <si>
    <t>eating</t>
    <phoneticPr fontId="3" type="noConversion"/>
  </si>
  <si>
    <t>经济</t>
  </si>
  <si>
    <t>economy</t>
    <phoneticPr fontId="3" type="noConversion"/>
  </si>
  <si>
    <t>编辑</t>
  </si>
  <si>
    <t>editor</t>
    <phoneticPr fontId="3" type="noConversion"/>
  </si>
  <si>
    <t>教育</t>
  </si>
  <si>
    <t>education</t>
    <phoneticPr fontId="3" type="noConversion"/>
  </si>
  <si>
    <t>肘</t>
  </si>
  <si>
    <t>elbow</t>
    <phoneticPr fontId="3" type="noConversion"/>
  </si>
  <si>
    <t>长辈</t>
  </si>
  <si>
    <t>elder</t>
    <phoneticPr fontId="3" type="noConversion"/>
  </si>
  <si>
    <t>电</t>
  </si>
  <si>
    <t>electricity</t>
    <phoneticPr fontId="3" type="noConversion"/>
  </si>
  <si>
    <t>因素</t>
  </si>
  <si>
    <t>elements</t>
    <phoneticPr fontId="3" type="noConversion"/>
  </si>
  <si>
    <t>电梯，起重机</t>
  </si>
  <si>
    <t>elevator</t>
    <phoneticPr fontId="3" type="noConversion"/>
  </si>
  <si>
    <t>感情</t>
  </si>
  <si>
    <t>emotion</t>
    <phoneticPr fontId="3" type="noConversion"/>
  </si>
  <si>
    <t>皇帝</t>
  </si>
  <si>
    <t>emperor</t>
    <phoneticPr fontId="3" type="noConversion"/>
  </si>
  <si>
    <t>员工</t>
  </si>
  <si>
    <t>employee</t>
    <phoneticPr fontId="3" type="noConversion"/>
  </si>
  <si>
    <t>雇主</t>
  </si>
  <si>
    <t>employer</t>
    <phoneticPr fontId="3" type="noConversion"/>
  </si>
  <si>
    <t>百科全书</t>
  </si>
  <si>
    <t>encyclopedia</t>
    <phoneticPr fontId="3" type="noConversion"/>
  </si>
  <si>
    <t>结果</t>
  </si>
  <si>
    <t>ending</t>
    <phoneticPr fontId="3" type="noConversion"/>
  </si>
  <si>
    <t>能量</t>
  </si>
  <si>
    <t>energies</t>
    <phoneticPr fontId="3" type="noConversion"/>
  </si>
  <si>
    <t>发动机</t>
  </si>
  <si>
    <t>engine</t>
    <phoneticPr fontId="3" type="noConversion"/>
  </si>
  <si>
    <t>工程师</t>
  </si>
  <si>
    <t>engineer</t>
    <phoneticPr fontId="3" type="noConversion"/>
  </si>
  <si>
    <t>入口</t>
  </si>
  <si>
    <t>entrance</t>
    <phoneticPr fontId="3" type="noConversion"/>
  </si>
  <si>
    <t>流行病</t>
  </si>
  <si>
    <t>epidemic</t>
    <phoneticPr fontId="3" type="noConversion"/>
  </si>
  <si>
    <t>设备</t>
  </si>
  <si>
    <t>equipment</t>
    <phoneticPr fontId="3" type="noConversion"/>
  </si>
  <si>
    <t>道德</t>
  </si>
  <si>
    <t>ethic</t>
    <phoneticPr fontId="3" type="noConversion"/>
  </si>
  <si>
    <t>夜晚，晚会</t>
  </si>
  <si>
    <t>evening</t>
    <phoneticPr fontId="3" type="noConversion"/>
  </si>
  <si>
    <t>事件</t>
  </si>
  <si>
    <t>event</t>
    <phoneticPr fontId="3" type="noConversion"/>
  </si>
  <si>
    <t>证据</t>
  </si>
  <si>
    <t>evidence</t>
    <phoneticPr fontId="3" type="noConversion"/>
  </si>
  <si>
    <t>考试</t>
  </si>
  <si>
    <t>examination</t>
    <phoneticPr fontId="3" type="noConversion"/>
  </si>
  <si>
    <t>例子</t>
  </si>
  <si>
    <t>example</t>
    <phoneticPr fontId="3" type="noConversion"/>
  </si>
  <si>
    <t>例外</t>
  </si>
  <si>
    <t>exception</t>
    <phoneticPr fontId="3" type="noConversion"/>
  </si>
  <si>
    <t>交换</t>
  </si>
  <si>
    <t>exchange</t>
    <phoneticPr fontId="3" type="noConversion"/>
  </si>
  <si>
    <t>兴奋</t>
  </si>
  <si>
    <t>excitement</t>
    <phoneticPr fontId="3" type="noConversion"/>
  </si>
  <si>
    <t>远足</t>
  </si>
  <si>
    <t>excursion</t>
    <phoneticPr fontId="3" type="noConversion"/>
  </si>
  <si>
    <t>借口</t>
  </si>
  <si>
    <t>excuse</t>
    <phoneticPr fontId="3" type="noConversion"/>
  </si>
  <si>
    <t>运动，练习</t>
  </si>
  <si>
    <t>exercises</t>
    <phoneticPr fontId="3" type="noConversion"/>
  </si>
  <si>
    <t>展览</t>
  </si>
  <si>
    <t>exhibition</t>
    <phoneticPr fontId="3" type="noConversion"/>
  </si>
  <si>
    <t>存在</t>
  </si>
  <si>
    <t>existence</t>
    <phoneticPr fontId="3" type="noConversion"/>
  </si>
  <si>
    <t>existing</t>
    <phoneticPr fontId="3" type="noConversion"/>
  </si>
  <si>
    <t>扩充</t>
  </si>
  <si>
    <t>expansion</t>
    <phoneticPr fontId="3" type="noConversion"/>
  </si>
  <si>
    <t>花费</t>
  </si>
  <si>
    <t>expense</t>
    <phoneticPr fontId="3" type="noConversion"/>
  </si>
  <si>
    <t>实验</t>
  </si>
  <si>
    <t>experiment</t>
    <phoneticPr fontId="3" type="noConversion"/>
  </si>
  <si>
    <t>专家</t>
  </si>
  <si>
    <t>expert</t>
    <phoneticPr fontId="3" type="noConversion"/>
  </si>
  <si>
    <t>解释</t>
  </si>
  <si>
    <t>explanation</t>
    <phoneticPr fontId="3" type="noConversion"/>
  </si>
  <si>
    <t>explosion</t>
    <phoneticPr fontId="3" type="noConversion"/>
  </si>
  <si>
    <t>博览会</t>
  </si>
  <si>
    <t>exposition</t>
    <phoneticPr fontId="3" type="noConversion"/>
  </si>
  <si>
    <t>曝光</t>
  </si>
  <si>
    <t>exposure</t>
    <phoneticPr fontId="3" type="noConversion"/>
  </si>
  <si>
    <t>延期，分机</t>
  </si>
  <si>
    <t>extension</t>
    <phoneticPr fontId="3" type="noConversion"/>
  </si>
  <si>
    <t>设施</t>
  </si>
  <si>
    <t>facility</t>
    <phoneticPr fontId="3" type="noConversion"/>
  </si>
  <si>
    <t>factor</t>
    <phoneticPr fontId="3" type="noConversion"/>
  </si>
  <si>
    <t>工厂</t>
  </si>
  <si>
    <t>factory</t>
    <phoneticPr fontId="3" type="noConversion"/>
  </si>
  <si>
    <t xml:space="preserve">Chapter3 Test Paper 4	</t>
    <phoneticPr fontId="3" type="noConversion"/>
  </si>
  <si>
    <t>系</t>
  </si>
  <si>
    <t>faculty</t>
    <phoneticPr fontId="3" type="noConversion"/>
  </si>
  <si>
    <t>失败</t>
  </si>
  <si>
    <t>failure</t>
    <phoneticPr fontId="3" type="noConversion"/>
  </si>
  <si>
    <t>鷷鹰</t>
  </si>
  <si>
    <t>falcon</t>
    <phoneticPr fontId="3" type="noConversion"/>
  </si>
  <si>
    <t>迷，粉丝，扇子</t>
  </si>
  <si>
    <t>fan</t>
    <phoneticPr fontId="3" type="noConversion"/>
  </si>
  <si>
    <t>车船费用</t>
  </si>
  <si>
    <t>fare</t>
    <phoneticPr fontId="3" type="noConversion"/>
  </si>
  <si>
    <t>农场</t>
  </si>
  <si>
    <t>farm</t>
    <phoneticPr fontId="3" type="noConversion"/>
  </si>
  <si>
    <t>农民</t>
  </si>
  <si>
    <t>farmer</t>
    <phoneticPr fontId="3" type="noConversion"/>
  </si>
  <si>
    <t>farming</t>
    <phoneticPr fontId="3" type="noConversion"/>
  </si>
  <si>
    <t>时尚</t>
  </si>
  <si>
    <t>fashion</t>
    <phoneticPr fontId="3" type="noConversion"/>
  </si>
  <si>
    <t>脂肪</t>
  </si>
  <si>
    <t>fat</t>
    <phoneticPr fontId="3" type="noConversion"/>
  </si>
  <si>
    <t>盛宴</t>
  </si>
  <si>
    <t>feast</t>
    <phoneticPr fontId="3" type="noConversion"/>
  </si>
  <si>
    <t>羽毛</t>
  </si>
  <si>
    <t>feather</t>
    <phoneticPr fontId="3" type="noConversion"/>
  </si>
  <si>
    <t>特点</t>
  </si>
  <si>
    <t>feature</t>
    <phoneticPr fontId="3" type="noConversion"/>
  </si>
  <si>
    <t>反馈，返回</t>
  </si>
  <si>
    <t>feedback</t>
    <phoneticPr fontId="3" type="noConversion"/>
  </si>
  <si>
    <t>伙伴关系</t>
  </si>
  <si>
    <t>fellowship</t>
    <phoneticPr fontId="3" type="noConversion"/>
  </si>
  <si>
    <t>女性</t>
  </si>
  <si>
    <t>female</t>
    <phoneticPr fontId="3" type="noConversion"/>
  </si>
  <si>
    <t>摆渡，轮渡</t>
  </si>
  <si>
    <t>ferries</t>
    <phoneticPr fontId="3" type="noConversion"/>
  </si>
  <si>
    <t>节日</t>
  </si>
  <si>
    <t>festival</t>
    <phoneticPr fontId="3" type="noConversion"/>
  </si>
  <si>
    <t>领域</t>
  </si>
  <si>
    <t>field</t>
    <phoneticPr fontId="3" type="noConversion"/>
  </si>
  <si>
    <t>数字</t>
  </si>
  <si>
    <t>figure</t>
    <phoneticPr fontId="3" type="noConversion"/>
  </si>
  <si>
    <t>电影</t>
  </si>
  <si>
    <t>film</t>
    <phoneticPr fontId="3" type="noConversion"/>
  </si>
  <si>
    <t>finding</t>
    <phoneticPr fontId="3" type="noConversion"/>
  </si>
  <si>
    <t>手指</t>
  </si>
  <si>
    <t>finger</t>
    <phoneticPr fontId="3" type="noConversion"/>
  </si>
  <si>
    <t>公司，商号</t>
  </si>
  <si>
    <t>firms</t>
    <phoneticPr fontId="3" type="noConversion"/>
  </si>
  <si>
    <t>鱼</t>
  </si>
  <si>
    <t>fish</t>
    <phoneticPr fontId="3" type="noConversion"/>
  </si>
  <si>
    <t>钓鱼</t>
  </si>
  <si>
    <t>fishing</t>
    <phoneticPr fontId="3" type="noConversion"/>
  </si>
  <si>
    <t>旗</t>
  </si>
  <si>
    <t>flag</t>
    <phoneticPr fontId="3" type="noConversion"/>
  </si>
  <si>
    <t>闪</t>
  </si>
  <si>
    <t>flash</t>
    <phoneticPr fontId="3" type="noConversion"/>
  </si>
  <si>
    <t>公寓</t>
  </si>
  <si>
    <t>flat</t>
    <phoneticPr fontId="3" type="noConversion"/>
  </si>
  <si>
    <t>航班</t>
  </si>
  <si>
    <t>flight</t>
    <phoneticPr fontId="3" type="noConversion"/>
  </si>
  <si>
    <t>洪水</t>
  </si>
  <si>
    <t>flood</t>
    <phoneticPr fontId="3" type="noConversion"/>
  </si>
  <si>
    <t>flooding</t>
    <phoneticPr fontId="3" type="noConversion"/>
  </si>
  <si>
    <t>面粉</t>
  </si>
  <si>
    <t>flour</t>
    <phoneticPr fontId="3" type="noConversion"/>
  </si>
  <si>
    <t>炫耀</t>
  </si>
  <si>
    <t>flourish</t>
    <phoneticPr fontId="3" type="noConversion"/>
  </si>
  <si>
    <t>流量</t>
  </si>
  <si>
    <t>flow</t>
    <phoneticPr fontId="3" type="noConversion"/>
  </si>
  <si>
    <t>流感</t>
  </si>
  <si>
    <t>flu</t>
    <phoneticPr fontId="3" type="noConversion"/>
  </si>
  <si>
    <t>飞行</t>
  </si>
  <si>
    <t>fly</t>
    <phoneticPr fontId="3" type="noConversion"/>
  </si>
  <si>
    <t>森林</t>
  </si>
  <si>
    <t>forest</t>
    <phoneticPr fontId="3" type="noConversion"/>
  </si>
  <si>
    <t>森林学</t>
  </si>
  <si>
    <t>forestry</t>
    <phoneticPr fontId="3" type="noConversion"/>
  </si>
  <si>
    <t>表格</t>
  </si>
  <si>
    <t>form</t>
    <phoneticPr fontId="3" type="noConversion"/>
  </si>
  <si>
    <t>公式</t>
  </si>
  <si>
    <t>formula</t>
    <phoneticPr fontId="3" type="noConversion"/>
  </si>
  <si>
    <t>两周</t>
  </si>
  <si>
    <t>fortnight</t>
    <phoneticPr fontId="3" type="noConversion"/>
  </si>
  <si>
    <t>财产，运气</t>
  </si>
  <si>
    <t>fortune</t>
    <phoneticPr fontId="3" type="noConversion"/>
  </si>
  <si>
    <t>门厅</t>
  </si>
  <si>
    <t>foyer</t>
    <phoneticPr fontId="3" type="noConversion"/>
  </si>
  <si>
    <t>自由</t>
  </si>
  <si>
    <t>freedom</t>
    <phoneticPr fontId="3" type="noConversion"/>
  </si>
  <si>
    <t>冷冻室</t>
  </si>
  <si>
    <t>freezer</t>
    <phoneticPr fontId="3" type="noConversion"/>
  </si>
  <si>
    <t>大一学生</t>
  </si>
  <si>
    <t>freshman</t>
    <phoneticPr fontId="3" type="noConversion"/>
  </si>
  <si>
    <t>水果</t>
  </si>
  <si>
    <t>fruit</t>
    <phoneticPr fontId="3" type="noConversion"/>
  </si>
  <si>
    <t>皮毛</t>
  </si>
  <si>
    <t>fur</t>
    <phoneticPr fontId="3" type="noConversion"/>
  </si>
  <si>
    <t>家具</t>
  </si>
  <si>
    <t>furniture</t>
    <phoneticPr fontId="3" type="noConversion"/>
  </si>
  <si>
    <t>未来</t>
  </si>
  <si>
    <t>future</t>
    <phoneticPr fontId="3" type="noConversion"/>
  </si>
  <si>
    <t>艺术馆</t>
  </si>
  <si>
    <t>gallery</t>
    <phoneticPr fontId="3" type="noConversion"/>
  </si>
  <si>
    <t>缝隙</t>
  </si>
  <si>
    <t>gap</t>
    <phoneticPr fontId="3" type="noConversion"/>
  </si>
  <si>
    <t>车库</t>
  </si>
  <si>
    <t>garage</t>
    <phoneticPr fontId="3" type="noConversion"/>
  </si>
  <si>
    <t>废物</t>
  </si>
  <si>
    <t>garbage</t>
    <phoneticPr fontId="3" type="noConversion"/>
  </si>
  <si>
    <t>花园</t>
  </si>
  <si>
    <t>garden</t>
    <phoneticPr fontId="3" type="noConversion"/>
  </si>
  <si>
    <t>石油</t>
  </si>
  <si>
    <t>gasoline</t>
    <phoneticPr fontId="3" type="noConversion"/>
  </si>
  <si>
    <t>性别</t>
  </si>
  <si>
    <t>gender</t>
    <phoneticPr fontId="3" type="noConversion"/>
  </si>
  <si>
    <t>germ</t>
    <phoneticPr fontId="3" type="noConversion"/>
  </si>
  <si>
    <t>手势</t>
  </si>
  <si>
    <t>gesture</t>
    <phoneticPr fontId="3" type="noConversion"/>
  </si>
  <si>
    <t>玻璃</t>
  </si>
  <si>
    <t>glass</t>
    <phoneticPr fontId="3" type="noConversion"/>
  </si>
  <si>
    <t>目标</t>
  </si>
  <si>
    <t>goal</t>
    <phoneticPr fontId="3" type="noConversion"/>
  </si>
  <si>
    <t>金子</t>
  </si>
  <si>
    <t>gold</t>
    <phoneticPr fontId="3" type="noConversion"/>
  </si>
  <si>
    <t>高尔夫</t>
  </si>
  <si>
    <t>golf</t>
    <phoneticPr fontId="3" type="noConversion"/>
  </si>
  <si>
    <t>年纪，成绩</t>
  </si>
  <si>
    <t>grade</t>
    <phoneticPr fontId="3" type="noConversion"/>
  </si>
  <si>
    <t>grades</t>
    <phoneticPr fontId="3" type="noConversion"/>
  </si>
  <si>
    <t>毕业生</t>
  </si>
  <si>
    <t>graduate</t>
    <phoneticPr fontId="3" type="noConversion"/>
  </si>
  <si>
    <t>graduates</t>
    <phoneticPr fontId="3" type="noConversion"/>
  </si>
  <si>
    <t>谷物</t>
  </si>
  <si>
    <t>grain</t>
    <phoneticPr fontId="3" type="noConversion"/>
  </si>
  <si>
    <t>草</t>
  </si>
  <si>
    <t>grass</t>
    <phoneticPr fontId="3" type="noConversion"/>
  </si>
  <si>
    <t>绿色</t>
  </si>
  <si>
    <t>green</t>
    <phoneticPr fontId="3" type="noConversion"/>
  </si>
  <si>
    <t>场地，地面</t>
  </si>
  <si>
    <t>ground</t>
    <phoneticPr fontId="3" type="noConversion"/>
  </si>
  <si>
    <t>团队，群体</t>
  </si>
  <si>
    <t>group</t>
    <phoneticPr fontId="3" type="noConversion"/>
  </si>
  <si>
    <t>成长</t>
  </si>
  <si>
    <t>growth</t>
    <phoneticPr fontId="3" type="noConversion"/>
  </si>
  <si>
    <t>客人</t>
  </si>
  <si>
    <t>guest</t>
    <phoneticPr fontId="3" type="noConversion"/>
  </si>
  <si>
    <t>导游，指导</t>
  </si>
  <si>
    <t>guide</t>
    <phoneticPr fontId="3" type="noConversion"/>
  </si>
  <si>
    <t>海湾，鸿沟</t>
  </si>
  <si>
    <t>gulf</t>
    <phoneticPr fontId="3" type="noConversion"/>
  </si>
  <si>
    <t>家伙</t>
  </si>
  <si>
    <t>guy</t>
    <phoneticPr fontId="3" type="noConversion"/>
  </si>
  <si>
    <t>体育馆</t>
  </si>
  <si>
    <t>gym</t>
    <phoneticPr fontId="3" type="noConversion"/>
  </si>
  <si>
    <t>习惯</t>
  </si>
  <si>
    <t>habit</t>
    <phoneticPr fontId="3" type="noConversion"/>
  </si>
  <si>
    <t>手，指针</t>
  </si>
  <si>
    <t>hand</t>
    <phoneticPr fontId="3" type="noConversion"/>
  </si>
  <si>
    <t>手球</t>
  </si>
  <si>
    <t>handball</t>
    <phoneticPr fontId="3" type="noConversion"/>
  </si>
  <si>
    <t>手册</t>
  </si>
  <si>
    <t>handbooks</t>
    <phoneticPr fontId="3" type="noConversion"/>
  </si>
  <si>
    <t>handling</t>
    <phoneticPr fontId="3" type="noConversion"/>
  </si>
  <si>
    <t>讲义</t>
  </si>
  <si>
    <t>handout</t>
    <phoneticPr fontId="3" type="noConversion"/>
  </si>
  <si>
    <t>帽子</t>
  </si>
  <si>
    <t>hat</t>
    <phoneticPr fontId="3" type="noConversion"/>
  </si>
  <si>
    <t>头痛</t>
  </si>
  <si>
    <t>headache</t>
    <phoneticPr fontId="3" type="noConversion"/>
  </si>
  <si>
    <t>标题</t>
  </si>
  <si>
    <t>heading</t>
    <phoneticPr fontId="3" type="noConversion"/>
  </si>
  <si>
    <t>健康</t>
  </si>
  <si>
    <t>health</t>
    <phoneticPr fontId="3" type="noConversion"/>
  </si>
  <si>
    <t>听觉</t>
  </si>
  <si>
    <t>hearing</t>
    <phoneticPr fontId="3" type="noConversion"/>
  </si>
  <si>
    <t>心脏</t>
  </si>
  <si>
    <t>heart</t>
    <phoneticPr fontId="3" type="noConversion"/>
  </si>
  <si>
    <t>供热，供暖</t>
  </si>
  <si>
    <t>heating</t>
    <phoneticPr fontId="3" type="noConversion"/>
  </si>
  <si>
    <t>母鸡</t>
  </si>
  <si>
    <t>hen</t>
    <phoneticPr fontId="3" type="noConversion"/>
  </si>
  <si>
    <t>草药</t>
  </si>
  <si>
    <t>herb</t>
    <phoneticPr fontId="3" type="noConversion"/>
  </si>
  <si>
    <t>英雄</t>
  </si>
  <si>
    <t>hero</t>
    <phoneticPr fontId="3" type="noConversion"/>
  </si>
  <si>
    <t>heroes</t>
    <phoneticPr fontId="3" type="noConversion"/>
  </si>
  <si>
    <t>女主人公</t>
  </si>
  <si>
    <t>heroine</t>
    <phoneticPr fontId="3" type="noConversion"/>
  </si>
  <si>
    <t>hike</t>
    <phoneticPr fontId="3" type="noConversion"/>
  </si>
  <si>
    <t>远足，徒步旅行</t>
  </si>
  <si>
    <t>hiking</t>
    <phoneticPr fontId="3" type="noConversion"/>
  </si>
  <si>
    <t>暗示</t>
  </si>
  <si>
    <t>hint</t>
    <phoneticPr fontId="3" type="noConversion"/>
  </si>
  <si>
    <t>hints</t>
    <phoneticPr fontId="3" type="noConversion"/>
  </si>
  <si>
    <t>历史学家</t>
  </si>
  <si>
    <t>historian</t>
    <phoneticPr fontId="3" type="noConversion"/>
  </si>
  <si>
    <t>引人注意的东西，技巧</t>
  </si>
  <si>
    <t>hit</t>
    <phoneticPr fontId="3" type="noConversion"/>
  </si>
  <si>
    <t>hits</t>
    <phoneticPr fontId="3" type="noConversion"/>
  </si>
  <si>
    <t>爱好</t>
  </si>
  <si>
    <t>hobby</t>
    <phoneticPr fontId="3" type="noConversion"/>
  </si>
  <si>
    <t>假期</t>
  </si>
  <si>
    <t>holiday</t>
    <phoneticPr fontId="3" type="noConversion"/>
  </si>
  <si>
    <t>马</t>
  </si>
  <si>
    <t>horse</t>
    <phoneticPr fontId="3" type="noConversion"/>
  </si>
  <si>
    <t>医院</t>
  </si>
  <si>
    <t>hospital</t>
    <phoneticPr fontId="3" type="noConversion"/>
  </si>
  <si>
    <t>家务</t>
  </si>
  <si>
    <t>housework</t>
    <phoneticPr fontId="3" type="noConversion"/>
  </si>
  <si>
    <t>住房</t>
  </si>
  <si>
    <t>housing</t>
    <phoneticPr fontId="3" type="noConversion"/>
  </si>
  <si>
    <t>一家人，家庭</t>
  </si>
  <si>
    <t>households</t>
    <phoneticPr fontId="3" type="noConversion"/>
  </si>
  <si>
    <t>小时</t>
  </si>
  <si>
    <t>hour</t>
    <phoneticPr fontId="3" type="noConversion"/>
  </si>
  <si>
    <t>Chapter3 Test Paper 5</t>
    <phoneticPr fontId="3" type="noConversion"/>
  </si>
  <si>
    <t>酒店</t>
  </si>
  <si>
    <t>hotel</t>
    <phoneticPr fontId="3" type="noConversion"/>
  </si>
  <si>
    <t>热线</t>
  </si>
  <si>
    <t>hotline</t>
    <phoneticPr fontId="3" type="noConversion"/>
  </si>
  <si>
    <t>打猎</t>
  </si>
  <si>
    <t>hunt</t>
    <phoneticPr fontId="3" type="noConversion"/>
  </si>
  <si>
    <t>hunting</t>
    <phoneticPr fontId="3" type="noConversion"/>
  </si>
  <si>
    <t>主意</t>
  </si>
  <si>
    <t>idea</t>
    <phoneticPr fontId="3" type="noConversion"/>
  </si>
  <si>
    <t>识别，身份</t>
  </si>
  <si>
    <t>identification</t>
    <phoneticPr fontId="3" type="noConversion"/>
  </si>
  <si>
    <t>身份</t>
  </si>
  <si>
    <t>identity</t>
    <phoneticPr fontId="3" type="noConversion"/>
  </si>
  <si>
    <t>形象</t>
  </si>
  <si>
    <t>image</t>
    <phoneticPr fontId="3" type="noConversion"/>
  </si>
  <si>
    <t>影响</t>
  </si>
  <si>
    <t>impact</t>
    <phoneticPr fontId="3" type="noConversion"/>
  </si>
  <si>
    <t>进口</t>
  </si>
  <si>
    <t>imports</t>
    <phoneticPr fontId="3" type="noConversion"/>
  </si>
  <si>
    <t>没能力</t>
  </si>
  <si>
    <t>inability</t>
    <phoneticPr fontId="3" type="noConversion"/>
  </si>
  <si>
    <t>打入的（电话）</t>
  </si>
  <si>
    <t>incoming</t>
    <phoneticPr fontId="3" type="noConversion"/>
  </si>
  <si>
    <t>索引</t>
  </si>
  <si>
    <t>index</t>
    <phoneticPr fontId="3" type="noConversion"/>
  </si>
  <si>
    <t>工业，产业</t>
  </si>
  <si>
    <t>industry</t>
    <phoneticPr fontId="3" type="noConversion"/>
  </si>
  <si>
    <t>发炎</t>
  </si>
  <si>
    <t>infection</t>
    <phoneticPr fontId="3" type="noConversion"/>
  </si>
  <si>
    <t>influence</t>
    <phoneticPr fontId="3" type="noConversion"/>
  </si>
  <si>
    <t>信息</t>
  </si>
  <si>
    <t>information</t>
    <phoneticPr fontId="3" type="noConversion"/>
  </si>
  <si>
    <t>注射</t>
  </si>
  <si>
    <t>injection</t>
    <phoneticPr fontId="3" type="noConversion"/>
  </si>
  <si>
    <t>受伤</t>
  </si>
  <si>
    <t>injury</t>
    <phoneticPr fontId="3" type="noConversion"/>
  </si>
  <si>
    <t>内陆</t>
  </si>
  <si>
    <t>inland</t>
    <phoneticPr fontId="3" type="noConversion"/>
  </si>
  <si>
    <t>昆虫</t>
  </si>
  <si>
    <t>insect</t>
    <phoneticPr fontId="3" type="noConversion"/>
  </si>
  <si>
    <t>失眠</t>
  </si>
  <si>
    <t>insomnia</t>
    <phoneticPr fontId="3" type="noConversion"/>
  </si>
  <si>
    <t>机构</t>
  </si>
  <si>
    <t>institute</t>
    <phoneticPr fontId="3" type="noConversion"/>
  </si>
  <si>
    <t>institution</t>
    <phoneticPr fontId="3" type="noConversion"/>
  </si>
  <si>
    <t>指示</t>
  </si>
  <si>
    <t>instruction</t>
    <phoneticPr fontId="3" type="noConversion"/>
  </si>
  <si>
    <t>教练</t>
  </si>
  <si>
    <t>instructor</t>
    <phoneticPr fontId="3" type="noConversion"/>
  </si>
  <si>
    <t>仪器，乐器</t>
  </si>
  <si>
    <t>instrument</t>
    <phoneticPr fontId="3" type="noConversion"/>
  </si>
  <si>
    <t>兴趣</t>
  </si>
  <si>
    <t>interest</t>
    <phoneticPr fontId="3" type="noConversion"/>
  </si>
  <si>
    <t>互联网</t>
  </si>
  <si>
    <t>internet</t>
    <phoneticPr fontId="3" type="noConversion"/>
  </si>
  <si>
    <t>面试官，考官</t>
  </si>
  <si>
    <t>interviewer</t>
    <phoneticPr fontId="3" type="noConversion"/>
  </si>
  <si>
    <t>简介</t>
  </si>
  <si>
    <t>introduction</t>
    <phoneticPr fontId="3" type="noConversion"/>
  </si>
  <si>
    <t>调查人</t>
  </si>
  <si>
    <t>investigator</t>
    <phoneticPr fontId="3" type="noConversion"/>
  </si>
  <si>
    <t>投资</t>
  </si>
  <si>
    <t>investment</t>
    <phoneticPr fontId="3" type="noConversion"/>
  </si>
  <si>
    <t>灌溉</t>
  </si>
  <si>
    <t>irrigation</t>
    <phoneticPr fontId="3" type="noConversion"/>
  </si>
  <si>
    <t>岛屿</t>
  </si>
  <si>
    <t>island</t>
    <phoneticPr fontId="3" type="noConversion"/>
  </si>
  <si>
    <t>隔离</t>
  </si>
  <si>
    <t>isolation</t>
    <phoneticPr fontId="3" type="noConversion"/>
  </si>
  <si>
    <t>项目，货品</t>
  </si>
  <si>
    <t>item</t>
    <phoneticPr fontId="3" type="noConversion"/>
  </si>
  <si>
    <t>夹克</t>
  </si>
  <si>
    <t>jacket</t>
    <phoneticPr fontId="3" type="noConversion"/>
  </si>
  <si>
    <t>堵塞</t>
  </si>
  <si>
    <t>jam</t>
    <phoneticPr fontId="3" type="noConversion"/>
  </si>
  <si>
    <t>下巴，颚</t>
  </si>
  <si>
    <t>jaw</t>
    <phoneticPr fontId="3" type="noConversion"/>
  </si>
  <si>
    <t>牛仔服</t>
  </si>
  <si>
    <t>jeans</t>
    <phoneticPr fontId="3" type="noConversion"/>
  </si>
  <si>
    <t>学术期刊</t>
  </si>
  <si>
    <t>journal</t>
    <phoneticPr fontId="3" type="noConversion"/>
  </si>
  <si>
    <t>评委</t>
  </si>
  <si>
    <t>judge</t>
    <phoneticPr fontId="3" type="noConversion"/>
  </si>
  <si>
    <t>果汁</t>
  </si>
  <si>
    <t>juice</t>
    <phoneticPr fontId="3" type="noConversion"/>
  </si>
  <si>
    <t>交汇处</t>
  </si>
  <si>
    <t>junction</t>
    <phoneticPr fontId="3" type="noConversion"/>
  </si>
  <si>
    <t>大三学生</t>
  </si>
  <si>
    <t>junior</t>
    <phoneticPr fontId="3" type="noConversion"/>
  </si>
  <si>
    <t>养育者</t>
  </si>
  <si>
    <t>keeper</t>
    <phoneticPr fontId="3" type="noConversion"/>
  </si>
  <si>
    <t>海藻</t>
  </si>
  <si>
    <t>kelp</t>
    <phoneticPr fontId="3" type="noConversion"/>
  </si>
  <si>
    <t>关键词</t>
  </si>
  <si>
    <t>keyword</t>
    <phoneticPr fontId="3" type="noConversion"/>
  </si>
  <si>
    <t>kid</t>
    <phoneticPr fontId="3" type="noConversion"/>
  </si>
  <si>
    <t>国王</t>
  </si>
  <si>
    <t>king</t>
    <phoneticPr fontId="3" type="noConversion"/>
  </si>
  <si>
    <t>小卖部</t>
  </si>
  <si>
    <t>kiosk</t>
    <phoneticPr fontId="3" type="noConversion"/>
  </si>
  <si>
    <t>工具箱</t>
  </si>
  <si>
    <t>kit</t>
    <phoneticPr fontId="3" type="noConversion"/>
  </si>
  <si>
    <t>厨房</t>
  </si>
  <si>
    <t>kitchen</t>
    <phoneticPr fontId="3" type="noConversion"/>
  </si>
  <si>
    <t>kits</t>
    <phoneticPr fontId="3" type="noConversion"/>
  </si>
  <si>
    <t>刀</t>
  </si>
  <si>
    <t>knife</t>
    <phoneticPr fontId="3" type="noConversion"/>
  </si>
  <si>
    <t>知识</t>
  </si>
  <si>
    <t>knowledge</t>
    <phoneticPr fontId="3" type="noConversion"/>
  </si>
  <si>
    <t>考拉</t>
  </si>
  <si>
    <t>koala</t>
    <phoneticPr fontId="3" type="noConversion"/>
  </si>
  <si>
    <t>实验室</t>
  </si>
  <si>
    <t>lab</t>
    <phoneticPr fontId="3" type="noConversion"/>
  </si>
  <si>
    <t>湖</t>
  </si>
  <si>
    <t>lake</t>
    <phoneticPr fontId="3" type="noConversion"/>
  </si>
  <si>
    <t>灯</t>
  </si>
  <si>
    <t>lamp</t>
    <phoneticPr fontId="3" type="noConversion"/>
  </si>
  <si>
    <t>土地</t>
  </si>
  <si>
    <t>land</t>
    <phoneticPr fontId="3" type="noConversion"/>
  </si>
  <si>
    <t>路标，标志性建筑</t>
  </si>
  <si>
    <t>landmark</t>
    <phoneticPr fontId="3" type="noConversion"/>
  </si>
  <si>
    <t>风景</t>
  </si>
  <si>
    <t>landscape</t>
    <phoneticPr fontId="3" type="noConversion"/>
  </si>
  <si>
    <t>语言</t>
  </si>
  <si>
    <t>language</t>
    <phoneticPr fontId="3" type="noConversion"/>
  </si>
  <si>
    <t>笔记本电脑</t>
  </si>
  <si>
    <t>laptop</t>
    <phoneticPr fontId="3" type="noConversion"/>
  </si>
  <si>
    <t>激光</t>
  </si>
  <si>
    <t>laser</t>
    <phoneticPr fontId="3" type="noConversion"/>
  </si>
  <si>
    <t>火山岩</t>
  </si>
  <si>
    <t>lava</t>
    <phoneticPr fontId="3" type="noConversion"/>
  </si>
  <si>
    <t>律师</t>
  </si>
  <si>
    <t>lawyer</t>
    <phoneticPr fontId="3" type="noConversion"/>
  </si>
  <si>
    <t>层</t>
  </si>
  <si>
    <t>layer</t>
    <phoneticPr fontId="3" type="noConversion"/>
  </si>
  <si>
    <t>授课</t>
  </si>
  <si>
    <t>lecture</t>
    <phoneticPr fontId="3" type="noConversion"/>
  </si>
  <si>
    <t>授课教师</t>
  </si>
  <si>
    <t>lecturer</t>
    <phoneticPr fontId="3" type="noConversion"/>
  </si>
  <si>
    <t>休闲</t>
  </si>
  <si>
    <t>leisure</t>
    <phoneticPr fontId="3" type="noConversion"/>
  </si>
  <si>
    <t>柠檬</t>
  </si>
  <si>
    <t>lemon</t>
    <phoneticPr fontId="3" type="noConversion"/>
  </si>
  <si>
    <t>借财务给别人的人</t>
  </si>
  <si>
    <t>lender</t>
    <phoneticPr fontId="3" type="noConversion"/>
  </si>
  <si>
    <t>长度</t>
  </si>
  <si>
    <t>length</t>
    <phoneticPr fontId="3" type="noConversion"/>
  </si>
  <si>
    <t>lesson</t>
    <phoneticPr fontId="3" type="noConversion"/>
  </si>
  <si>
    <t>字母，信件</t>
  </si>
  <si>
    <t>letter</t>
    <phoneticPr fontId="3" type="noConversion"/>
  </si>
  <si>
    <t>水平，程度</t>
  </si>
  <si>
    <t>level</t>
    <phoneticPr fontId="3" type="noConversion"/>
  </si>
  <si>
    <t>图书馆</t>
  </si>
  <si>
    <t>library</t>
    <phoneticPr fontId="3" type="noConversion"/>
  </si>
  <si>
    <t>电梯</t>
  </si>
  <si>
    <t>lift</t>
    <phoneticPr fontId="3" type="noConversion"/>
  </si>
  <si>
    <t>light</t>
    <phoneticPr fontId="3" type="noConversion"/>
  </si>
  <si>
    <t>队</t>
  </si>
  <si>
    <t>line</t>
    <phoneticPr fontId="3" type="noConversion"/>
  </si>
  <si>
    <t>狮子</t>
  </si>
  <si>
    <t>lion</t>
    <phoneticPr fontId="3" type="noConversion"/>
  </si>
  <si>
    <t>列表，清单</t>
  </si>
  <si>
    <t>lists</t>
    <phoneticPr fontId="3" type="noConversion"/>
  </si>
  <si>
    <t>贷款</t>
  </si>
  <si>
    <t>loan</t>
    <phoneticPr fontId="3" type="noConversion"/>
  </si>
  <si>
    <t>地理位置</t>
  </si>
  <si>
    <t>location</t>
    <phoneticPr fontId="3" type="noConversion"/>
  </si>
  <si>
    <t>锁</t>
  </si>
  <si>
    <t>lock</t>
    <phoneticPr fontId="3" type="noConversion"/>
  </si>
  <si>
    <t>损失</t>
  </si>
  <si>
    <t>loss</t>
    <phoneticPr fontId="3" type="noConversion"/>
  </si>
  <si>
    <t>休息大厅</t>
  </si>
  <si>
    <t>lounge</t>
    <phoneticPr fontId="3" type="noConversion"/>
  </si>
  <si>
    <t>忠诚</t>
  </si>
  <si>
    <t>loyalty</t>
    <phoneticPr fontId="3" type="noConversion"/>
  </si>
  <si>
    <t>运气</t>
  </si>
  <si>
    <t>luck</t>
    <phoneticPr fontId="3" type="noConversion"/>
  </si>
  <si>
    <t>午餐</t>
  </si>
  <si>
    <t>lunch</t>
    <phoneticPr fontId="3" type="noConversion"/>
  </si>
  <si>
    <t>肺</t>
  </si>
  <si>
    <t>lung</t>
    <phoneticPr fontId="3" type="noConversion"/>
  </si>
  <si>
    <t>机器</t>
  </si>
  <si>
    <t>machine</t>
    <phoneticPr fontId="3" type="noConversion"/>
  </si>
  <si>
    <t>杂志</t>
  </si>
  <si>
    <t>magazine</t>
    <phoneticPr fontId="3" type="noConversion"/>
  </si>
  <si>
    <t>女仆</t>
  </si>
  <si>
    <t>maid</t>
    <phoneticPr fontId="3" type="noConversion"/>
  </si>
  <si>
    <t>邮件</t>
  </si>
  <si>
    <t>mail</t>
    <phoneticPr fontId="3" type="noConversion"/>
  </si>
  <si>
    <t>多数</t>
  </si>
  <si>
    <t>majority</t>
    <phoneticPr fontId="3" type="noConversion"/>
  </si>
  <si>
    <t>制造</t>
  </si>
  <si>
    <t>making</t>
    <phoneticPr fontId="3" type="noConversion"/>
  </si>
  <si>
    <t>男性</t>
  </si>
  <si>
    <t>male</t>
    <phoneticPr fontId="3" type="noConversion"/>
  </si>
  <si>
    <t>经理</t>
  </si>
  <si>
    <t>manager</t>
    <phoneticPr fontId="3" type="noConversion"/>
  </si>
  <si>
    <t>鬓毛</t>
  </si>
  <si>
    <t>mane</t>
    <phoneticPr fontId="3" type="noConversion"/>
  </si>
  <si>
    <t>生产</t>
  </si>
  <si>
    <t>manufacture</t>
    <phoneticPr fontId="3" type="noConversion"/>
  </si>
  <si>
    <t>地图</t>
  </si>
  <si>
    <t>map</t>
    <phoneticPr fontId="3" type="noConversion"/>
  </si>
  <si>
    <t>页面的空白</t>
  </si>
  <si>
    <t>margin</t>
    <phoneticPr fontId="3" type="noConversion"/>
  </si>
  <si>
    <t>分数</t>
  </si>
  <si>
    <t>mark</t>
    <phoneticPr fontId="3" type="noConversion"/>
  </si>
  <si>
    <t>市场</t>
  </si>
  <si>
    <t>market</t>
    <phoneticPr fontId="3" type="noConversion"/>
  </si>
  <si>
    <t>市场营销</t>
  </si>
  <si>
    <t>marketing</t>
    <phoneticPr fontId="3" type="noConversion"/>
  </si>
  <si>
    <t>沼泽</t>
  </si>
  <si>
    <t>marsh</t>
    <phoneticPr fontId="3" type="noConversion"/>
  </si>
  <si>
    <t>硕士</t>
  </si>
  <si>
    <t>master</t>
    <phoneticPr fontId="3" type="noConversion"/>
  </si>
  <si>
    <t>脚垫</t>
  </si>
  <si>
    <t>mat</t>
    <phoneticPr fontId="3" type="noConversion"/>
  </si>
  <si>
    <t>搭配</t>
  </si>
  <si>
    <t>matching</t>
    <phoneticPr fontId="3" type="noConversion"/>
  </si>
  <si>
    <t>材料</t>
  </si>
  <si>
    <t>material</t>
    <phoneticPr fontId="3" type="noConversion"/>
  </si>
  <si>
    <t>成熟</t>
  </si>
  <si>
    <t>maturity</t>
    <phoneticPr fontId="3" type="noConversion"/>
  </si>
  <si>
    <t>最大</t>
  </si>
  <si>
    <t>maximum</t>
    <phoneticPr fontId="3" type="noConversion"/>
  </si>
  <si>
    <t>膳食</t>
  </si>
  <si>
    <t>meal</t>
    <phoneticPr fontId="3" type="noConversion"/>
  </si>
  <si>
    <t>测量</t>
  </si>
  <si>
    <t>measure</t>
    <phoneticPr fontId="3" type="noConversion"/>
  </si>
  <si>
    <t>measurement</t>
    <phoneticPr fontId="3" type="noConversion"/>
  </si>
  <si>
    <t>肉类</t>
  </si>
  <si>
    <t>meat</t>
    <phoneticPr fontId="3" type="noConversion"/>
  </si>
  <si>
    <t>媒体</t>
  </si>
  <si>
    <t>media</t>
    <phoneticPr fontId="3" type="noConversion"/>
  </si>
  <si>
    <t>药物</t>
  </si>
  <si>
    <t>medication</t>
    <phoneticPr fontId="3" type="noConversion"/>
  </si>
  <si>
    <t>medicine</t>
    <phoneticPr fontId="3" type="noConversion"/>
  </si>
  <si>
    <t>媒体，中度</t>
  </si>
  <si>
    <t>medium</t>
    <phoneticPr fontId="3" type="noConversion"/>
  </si>
  <si>
    <t>方法</t>
  </si>
  <si>
    <t>method</t>
    <phoneticPr fontId="3" type="noConversion"/>
  </si>
  <si>
    <t>麦克风</t>
  </si>
  <si>
    <t>microphone</t>
    <phoneticPr fontId="3" type="noConversion"/>
  </si>
  <si>
    <t>移民</t>
  </si>
  <si>
    <t>migration</t>
    <phoneticPr fontId="3" type="noConversion"/>
  </si>
  <si>
    <t>英里</t>
  </si>
  <si>
    <t>mile</t>
    <phoneticPr fontId="3" type="noConversion"/>
  </si>
  <si>
    <t>里程表</t>
  </si>
  <si>
    <t>mileage</t>
    <phoneticPr fontId="3" type="noConversion"/>
  </si>
  <si>
    <t>牛奶</t>
  </si>
  <si>
    <t>milk</t>
    <phoneticPr fontId="3" type="noConversion"/>
  </si>
  <si>
    <t>矿</t>
  </si>
  <si>
    <t>mine</t>
    <phoneticPr fontId="3" type="noConversion"/>
  </si>
  <si>
    <t>矿物</t>
  </si>
  <si>
    <t>mineral</t>
    <phoneticPr fontId="3" type="noConversion"/>
  </si>
  <si>
    <t>作坊</t>
  </si>
  <si>
    <t>mill</t>
    <phoneticPr fontId="3" type="noConversion"/>
  </si>
  <si>
    <t>最小</t>
  </si>
  <si>
    <t>minimum</t>
    <phoneticPr fontId="3" type="noConversion"/>
  </si>
  <si>
    <t>分钟</t>
  </si>
  <si>
    <t>minute</t>
    <phoneticPr fontId="3" type="noConversion"/>
  </si>
  <si>
    <t>混合物，合剂</t>
  </si>
  <si>
    <t>mixture</t>
    <phoneticPr fontId="3" type="noConversion"/>
  </si>
  <si>
    <t>模型</t>
  </si>
  <si>
    <t>model</t>
    <phoneticPr fontId="3" type="noConversion"/>
  </si>
  <si>
    <t>钱</t>
  </si>
  <si>
    <t>money</t>
    <phoneticPr fontId="3" type="noConversion"/>
  </si>
  <si>
    <t>垄断</t>
  </si>
  <si>
    <t>monopoly</t>
    <phoneticPr fontId="3" type="noConversion"/>
  </si>
  <si>
    <t>月</t>
  </si>
  <si>
    <t>month</t>
    <phoneticPr fontId="3" type="noConversion"/>
  </si>
  <si>
    <t>情绪</t>
  </si>
  <si>
    <t>mood</t>
    <phoneticPr fontId="3" type="noConversion"/>
  </si>
  <si>
    <t>morality</t>
    <phoneticPr fontId="3" type="noConversion"/>
  </si>
  <si>
    <t>蚊子</t>
  </si>
  <si>
    <t>mosquito</t>
    <phoneticPr fontId="3" type="noConversion"/>
  </si>
  <si>
    <t>汽车旅馆</t>
  </si>
  <si>
    <t>motel</t>
    <phoneticPr fontId="3" type="noConversion"/>
  </si>
  <si>
    <t>山脉</t>
  </si>
  <si>
    <t>mountain</t>
    <phoneticPr fontId="3" type="noConversion"/>
  </si>
  <si>
    <t xml:space="preserve">Chapter3 Test Paper 6	</t>
    <phoneticPr fontId="3" type="noConversion"/>
  </si>
  <si>
    <t>小胡子</t>
  </si>
  <si>
    <t>moustache</t>
    <phoneticPr fontId="3" type="noConversion"/>
  </si>
  <si>
    <t>嘴巴</t>
  </si>
  <si>
    <t>mouth</t>
    <phoneticPr fontId="3" type="noConversion"/>
  </si>
  <si>
    <t>movie</t>
    <phoneticPr fontId="3" type="noConversion"/>
  </si>
  <si>
    <t>肌肉</t>
  </si>
  <si>
    <t>muscle</t>
    <phoneticPr fontId="3" type="noConversion"/>
  </si>
  <si>
    <t>博物馆</t>
  </si>
  <si>
    <t>museum</t>
    <phoneticPr fontId="3" type="noConversion"/>
  </si>
  <si>
    <t>音乐</t>
  </si>
  <si>
    <t>music</t>
    <phoneticPr fontId="3" type="noConversion"/>
  </si>
  <si>
    <t>音乐剧</t>
  </si>
  <si>
    <t>musical</t>
    <phoneticPr fontId="3" type="noConversion"/>
  </si>
  <si>
    <t>音乐家</t>
  </si>
  <si>
    <t>musician</t>
    <phoneticPr fontId="3" type="noConversion"/>
  </si>
  <si>
    <t>小睡</t>
  </si>
  <si>
    <t>nap</t>
    <phoneticPr fontId="3" type="noConversion"/>
  </si>
  <si>
    <t>自然</t>
  </si>
  <si>
    <t>nature</t>
    <phoneticPr fontId="3" type="noConversion"/>
  </si>
  <si>
    <t>零</t>
  </si>
  <si>
    <t>naught</t>
    <phoneticPr fontId="3" type="noConversion"/>
  </si>
  <si>
    <t>脖子</t>
  </si>
  <si>
    <t>neck</t>
    <phoneticPr fontId="3" type="noConversion"/>
  </si>
  <si>
    <t>网</t>
  </si>
  <si>
    <t>net</t>
    <phoneticPr fontId="3" type="noConversion"/>
  </si>
  <si>
    <t>报纸</t>
  </si>
  <si>
    <t>newspaper</t>
    <phoneticPr fontId="3" type="noConversion"/>
  </si>
  <si>
    <t>夜晚</t>
  </si>
  <si>
    <t>night</t>
    <phoneticPr fontId="3" type="noConversion"/>
  </si>
  <si>
    <t>噪声</t>
  </si>
  <si>
    <t>noise</t>
    <phoneticPr fontId="3" type="noConversion"/>
  </si>
  <si>
    <t>北</t>
  </si>
  <si>
    <t>north</t>
    <phoneticPr fontId="3" type="noConversion"/>
  </si>
  <si>
    <t>东北</t>
  </si>
  <si>
    <t>northeast</t>
    <phoneticPr fontId="3" type="noConversion"/>
  </si>
  <si>
    <t>西北</t>
  </si>
  <si>
    <t>northwest</t>
    <phoneticPr fontId="3" type="noConversion"/>
  </si>
  <si>
    <t>鼻子</t>
  </si>
  <si>
    <t>nose</t>
    <phoneticPr fontId="3" type="noConversion"/>
  </si>
  <si>
    <t>笔记</t>
  </si>
  <si>
    <t>note</t>
    <phoneticPr fontId="3" type="noConversion"/>
  </si>
  <si>
    <t>注意</t>
  </si>
  <si>
    <t>notice</t>
    <phoneticPr fontId="3" type="noConversion"/>
  </si>
  <si>
    <t>护士</t>
  </si>
  <si>
    <t>nurse</t>
    <phoneticPr fontId="3" type="noConversion"/>
  </si>
  <si>
    <t>幼儿园</t>
  </si>
  <si>
    <t>nursery</t>
    <phoneticPr fontId="3" type="noConversion"/>
  </si>
  <si>
    <t>护理</t>
  </si>
  <si>
    <t>nursing</t>
    <phoneticPr fontId="3" type="noConversion"/>
  </si>
  <si>
    <t>坚果</t>
  </si>
  <si>
    <t>nut</t>
    <phoneticPr fontId="3" type="noConversion"/>
  </si>
  <si>
    <t>营养</t>
  </si>
  <si>
    <t>nutrition</t>
    <phoneticPr fontId="3" type="noConversion"/>
  </si>
  <si>
    <t>目的，目标</t>
  </si>
  <si>
    <t>objective</t>
    <phoneticPr fontId="3" type="noConversion"/>
  </si>
  <si>
    <t>场合，时机</t>
  </si>
  <si>
    <t>occasion</t>
    <phoneticPr fontId="3" type="noConversion"/>
  </si>
  <si>
    <t>占有人，居住者</t>
  </si>
  <si>
    <t>occupant</t>
    <phoneticPr fontId="3" type="noConversion"/>
  </si>
  <si>
    <t>海洋</t>
  </si>
  <si>
    <t>ocean</t>
    <phoneticPr fontId="3" type="noConversion"/>
  </si>
  <si>
    <t>眼科医生</t>
  </si>
  <si>
    <t>oculist</t>
    <phoneticPr fontId="3" type="noConversion"/>
  </si>
  <si>
    <t>药膏</t>
  </si>
  <si>
    <t>ointment</t>
    <phoneticPr fontId="3" type="noConversion"/>
  </si>
  <si>
    <t>option</t>
    <phoneticPr fontId="3" type="noConversion"/>
  </si>
  <si>
    <t>命令</t>
  </si>
  <si>
    <t>order</t>
    <phoneticPr fontId="3" type="noConversion"/>
  </si>
  <si>
    <t>普通的</t>
  </si>
  <si>
    <t>ordinary</t>
    <phoneticPr fontId="3" type="noConversion"/>
  </si>
  <si>
    <t>组织者</t>
  </si>
  <si>
    <t>organizer</t>
    <phoneticPr fontId="3" type="noConversion"/>
  </si>
  <si>
    <t>最初的</t>
  </si>
  <si>
    <t>original</t>
    <phoneticPr fontId="3" type="noConversion"/>
  </si>
  <si>
    <t>提纲</t>
  </si>
  <si>
    <t>outline</t>
    <phoneticPr fontId="3" type="noConversion"/>
  </si>
  <si>
    <t>透支</t>
  </si>
  <si>
    <t>overdraft</t>
    <phoneticPr fontId="3" type="noConversion"/>
  </si>
  <si>
    <t>所有者</t>
  </si>
  <si>
    <t>owner</t>
    <phoneticPr fontId="3" type="noConversion"/>
  </si>
  <si>
    <t>所有权</t>
  </si>
  <si>
    <t>ownership</t>
    <phoneticPr fontId="3" type="noConversion"/>
  </si>
  <si>
    <t>牛津</t>
  </si>
  <si>
    <t>Oxford</t>
    <phoneticPr fontId="3" type="noConversion"/>
  </si>
  <si>
    <t>包装</t>
  </si>
  <si>
    <t>package</t>
    <phoneticPr fontId="3" type="noConversion"/>
  </si>
  <si>
    <t>页码</t>
  </si>
  <si>
    <t>page</t>
    <phoneticPr fontId="3" type="noConversion"/>
  </si>
  <si>
    <t>油漆</t>
  </si>
  <si>
    <t>paint</t>
    <phoneticPr fontId="3" type="noConversion"/>
  </si>
  <si>
    <t>绘画</t>
  </si>
  <si>
    <t>painting</t>
    <phoneticPr fontId="3" type="noConversion"/>
  </si>
  <si>
    <t>一副，一队</t>
  </si>
  <si>
    <t>pair</t>
    <phoneticPr fontId="3" type="noConversion"/>
  </si>
  <si>
    <t>pal</t>
    <phoneticPr fontId="3" type="noConversion"/>
  </si>
  <si>
    <t>宫殿</t>
  </si>
  <si>
    <t>palace</t>
    <phoneticPr fontId="3" type="noConversion"/>
  </si>
  <si>
    <t>恐惧</t>
  </si>
  <si>
    <t>panic</t>
    <phoneticPr fontId="3" type="noConversion"/>
  </si>
  <si>
    <t>报纸，论文</t>
  </si>
  <si>
    <t>paper</t>
    <phoneticPr fontId="3" type="noConversion"/>
  </si>
  <si>
    <t>包裹</t>
  </si>
  <si>
    <t>parcel</t>
    <phoneticPr fontId="3" type="noConversion"/>
  </si>
  <si>
    <t>父母</t>
  </si>
  <si>
    <t>parent</t>
    <phoneticPr fontId="3" type="noConversion"/>
  </si>
  <si>
    <t>公园，停车</t>
  </si>
  <si>
    <t>park</t>
    <phoneticPr fontId="3" type="noConversion"/>
  </si>
  <si>
    <t>停车</t>
  </si>
  <si>
    <t>parking</t>
    <phoneticPr fontId="3" type="noConversion"/>
  </si>
  <si>
    <t>参加者</t>
  </si>
  <si>
    <t>participant</t>
    <phoneticPr fontId="3" type="noConversion"/>
  </si>
  <si>
    <t>通行，通过</t>
  </si>
  <si>
    <t>passages</t>
    <phoneticPr fontId="3" type="noConversion"/>
  </si>
  <si>
    <t>旅客</t>
  </si>
  <si>
    <t>passenger</t>
    <phoneticPr fontId="3" type="noConversion"/>
  </si>
  <si>
    <t>娱乐</t>
  </si>
  <si>
    <t>pastime</t>
    <phoneticPr fontId="3" type="noConversion"/>
  </si>
  <si>
    <t>病人</t>
  </si>
  <si>
    <t>patient</t>
    <phoneticPr fontId="3" type="noConversion"/>
  </si>
  <si>
    <t>报酬，付款</t>
  </si>
  <si>
    <t>payment</t>
    <phoneticPr fontId="3" type="noConversion"/>
  </si>
  <si>
    <t>行人</t>
  </si>
  <si>
    <t>pedestrian</t>
    <phoneticPr fontId="3" type="noConversion"/>
  </si>
  <si>
    <t>养老金</t>
  </si>
  <si>
    <t>pension</t>
    <phoneticPr fontId="3" type="noConversion"/>
  </si>
  <si>
    <t>领退休金的人</t>
  </si>
  <si>
    <t>pensioners</t>
    <phoneticPr fontId="3" type="noConversion"/>
  </si>
  <si>
    <t>百分比</t>
  </si>
  <si>
    <t>percent</t>
    <phoneticPr fontId="3" type="noConversion"/>
  </si>
  <si>
    <t>表演者</t>
  </si>
  <si>
    <t>performer</t>
    <phoneticPr fontId="3" type="noConversion"/>
  </si>
  <si>
    <t>香水</t>
  </si>
  <si>
    <t>perfume</t>
    <phoneticPr fontId="3" type="noConversion"/>
  </si>
  <si>
    <t>阶段</t>
  </si>
  <si>
    <t>period</t>
    <phoneticPr fontId="3" type="noConversion"/>
  </si>
  <si>
    <t>期刊</t>
  </si>
  <si>
    <t>periodical</t>
    <phoneticPr fontId="3" type="noConversion"/>
  </si>
  <si>
    <t>额外收入，公司优惠</t>
  </si>
  <si>
    <t>perk</t>
    <phoneticPr fontId="3" type="noConversion"/>
  </si>
  <si>
    <t>许可证</t>
  </si>
  <si>
    <t>permit</t>
    <phoneticPr fontId="3" type="noConversion"/>
  </si>
  <si>
    <t>人</t>
  </si>
  <si>
    <t>person</t>
    <phoneticPr fontId="3" type="noConversion"/>
  </si>
  <si>
    <t>个性</t>
  </si>
  <si>
    <t>personality</t>
    <phoneticPr fontId="3" type="noConversion"/>
  </si>
  <si>
    <t>宠物</t>
  </si>
  <si>
    <t>pet</t>
    <phoneticPr fontId="3" type="noConversion"/>
  </si>
  <si>
    <t>汽油</t>
  </si>
  <si>
    <t>petrol</t>
    <phoneticPr fontId="3" type="noConversion"/>
  </si>
  <si>
    <t>petroleum</t>
    <phoneticPr fontId="3" type="noConversion"/>
  </si>
  <si>
    <t>哲学家</t>
  </si>
  <si>
    <t>philosopher</t>
    <phoneticPr fontId="3" type="noConversion"/>
  </si>
  <si>
    <t>照片</t>
  </si>
  <si>
    <t>photo</t>
    <phoneticPr fontId="3" type="noConversion"/>
  </si>
  <si>
    <t>photograph</t>
    <phoneticPr fontId="3" type="noConversion"/>
  </si>
  <si>
    <t>内科医生</t>
  </si>
  <si>
    <t>physician</t>
    <phoneticPr fontId="3" type="noConversion"/>
  </si>
  <si>
    <t>物理学</t>
  </si>
  <si>
    <t>physics</t>
    <phoneticPr fontId="3" type="noConversion"/>
  </si>
  <si>
    <t>钢琴家</t>
  </si>
  <si>
    <t>pianist</t>
    <phoneticPr fontId="3" type="noConversion"/>
  </si>
  <si>
    <t>钢琴</t>
  </si>
  <si>
    <t>piano</t>
    <phoneticPr fontId="3" type="noConversion"/>
  </si>
  <si>
    <t>野餐</t>
  </si>
  <si>
    <t>picnic</t>
    <phoneticPr fontId="3" type="noConversion"/>
  </si>
  <si>
    <t>图</t>
  </si>
  <si>
    <t>picture</t>
    <phoneticPr fontId="3" type="noConversion"/>
  </si>
  <si>
    <t>饼</t>
  </si>
  <si>
    <t>pie</t>
    <phoneticPr fontId="3" type="noConversion"/>
  </si>
  <si>
    <t>药丸</t>
  </si>
  <si>
    <t>pill</t>
    <phoneticPr fontId="3" type="noConversion"/>
  </si>
  <si>
    <t>粉色</t>
  </si>
  <si>
    <t>pink</t>
    <phoneticPr fontId="3" type="noConversion"/>
  </si>
  <si>
    <t>地方，场所</t>
  </si>
  <si>
    <t>place</t>
    <phoneticPr fontId="3" type="noConversion"/>
  </si>
  <si>
    <t>放置</t>
  </si>
  <si>
    <t>placement</t>
    <phoneticPr fontId="3" type="noConversion"/>
  </si>
  <si>
    <t>计划</t>
  </si>
  <si>
    <t>plan</t>
    <phoneticPr fontId="3" type="noConversion"/>
  </si>
  <si>
    <t>计划者</t>
  </si>
  <si>
    <t>planners</t>
    <phoneticPr fontId="3" type="noConversion"/>
  </si>
  <si>
    <t>plans</t>
    <phoneticPr fontId="3" type="noConversion"/>
  </si>
  <si>
    <t>植物种植</t>
  </si>
  <si>
    <t>plant</t>
    <phoneticPr fontId="3" type="noConversion"/>
  </si>
  <si>
    <t>种植</t>
  </si>
  <si>
    <t>planting</t>
    <phoneticPr fontId="3" type="noConversion"/>
  </si>
  <si>
    <t>塑料</t>
  </si>
  <si>
    <t>plastic</t>
    <phoneticPr fontId="3" type="noConversion"/>
  </si>
  <si>
    <t>盘子图版</t>
  </si>
  <si>
    <t>plate</t>
    <phoneticPr fontId="3" type="noConversion"/>
  </si>
  <si>
    <t>选手</t>
  </si>
  <si>
    <t>player</t>
    <phoneticPr fontId="3" type="noConversion"/>
  </si>
  <si>
    <t>操场</t>
  </si>
  <si>
    <t>playground</t>
    <phoneticPr fontId="3" type="noConversion"/>
  </si>
  <si>
    <t>乐趣</t>
  </si>
  <si>
    <t>pleasure</t>
    <phoneticPr fontId="3" type="noConversion"/>
  </si>
  <si>
    <t>口袋</t>
  </si>
  <si>
    <t>pocket</t>
    <phoneticPr fontId="3" type="noConversion"/>
  </si>
  <si>
    <t>分数，要点</t>
  </si>
  <si>
    <t>point</t>
    <phoneticPr fontId="3" type="noConversion"/>
  </si>
  <si>
    <t>police</t>
    <phoneticPr fontId="3" type="noConversion"/>
  </si>
  <si>
    <t>民意调查</t>
  </si>
  <si>
    <t>poll</t>
    <phoneticPr fontId="3" type="noConversion"/>
  </si>
  <si>
    <t>污染物，污染源</t>
  </si>
  <si>
    <t>pollutant</t>
    <phoneticPr fontId="3" type="noConversion"/>
  </si>
  <si>
    <t>污染，玷污</t>
  </si>
  <si>
    <t>pollute</t>
    <phoneticPr fontId="3" type="noConversion"/>
  </si>
  <si>
    <t>pollution</t>
    <phoneticPr fontId="3" type="noConversion"/>
  </si>
  <si>
    <t>港口</t>
  </si>
  <si>
    <t>port</t>
    <phoneticPr fontId="3" type="noConversion"/>
  </si>
  <si>
    <t>位置，职位</t>
  </si>
  <si>
    <t>position</t>
    <phoneticPr fontId="3" type="noConversion"/>
  </si>
  <si>
    <t>职位，邮寄</t>
  </si>
  <si>
    <t>post</t>
    <phoneticPr fontId="3" type="noConversion"/>
  </si>
  <si>
    <t>研究生</t>
  </si>
  <si>
    <t>postgraduate</t>
    <phoneticPr fontId="3" type="noConversion"/>
  </si>
  <si>
    <t>详细情况，特色</t>
  </si>
  <si>
    <t>particulars</t>
    <phoneticPr fontId="3" type="noConversion"/>
  </si>
  <si>
    <t>Chapter3 Test Paper 7</t>
    <phoneticPr fontId="3" type="noConversion"/>
  </si>
  <si>
    <t>陶器</t>
  </si>
  <si>
    <t>potteries</t>
    <phoneticPr fontId="3" type="noConversion"/>
  </si>
  <si>
    <t>权力，能源</t>
  </si>
  <si>
    <t>power</t>
    <phoneticPr fontId="3" type="noConversion"/>
  </si>
  <si>
    <t>投影的文件</t>
  </si>
  <si>
    <t>PowerPoint</t>
    <phoneticPr fontId="3" type="noConversion"/>
  </si>
  <si>
    <t>预防</t>
  </si>
  <si>
    <t>precaution</t>
    <phoneticPr fontId="3" type="noConversion"/>
  </si>
  <si>
    <t>精密度</t>
  </si>
  <si>
    <t>precision</t>
    <phoneticPr fontId="3" type="noConversion"/>
  </si>
  <si>
    <t>偏爱</t>
  </si>
  <si>
    <t>preference</t>
    <phoneticPr fontId="3" type="noConversion"/>
  </si>
  <si>
    <t>介词</t>
  </si>
  <si>
    <t>preposition</t>
    <phoneticPr fontId="3" type="noConversion"/>
  </si>
  <si>
    <t>药方</t>
  </si>
  <si>
    <t>prescription</t>
    <phoneticPr fontId="3" type="noConversion"/>
  </si>
  <si>
    <t>演讲，陈述</t>
  </si>
  <si>
    <t>presentation</t>
    <phoneticPr fontId="3" type="noConversion"/>
  </si>
  <si>
    <t>保存</t>
  </si>
  <si>
    <t>preservation</t>
    <phoneticPr fontId="3" type="noConversion"/>
  </si>
  <si>
    <t>总统，校长</t>
  </si>
  <si>
    <t>president</t>
    <phoneticPr fontId="3" type="noConversion"/>
  </si>
  <si>
    <t>prevention</t>
    <phoneticPr fontId="3" type="noConversion"/>
  </si>
  <si>
    <t>打印</t>
  </si>
  <si>
    <t>printing</t>
    <phoneticPr fontId="3" type="noConversion"/>
  </si>
  <si>
    <t>优先</t>
  </si>
  <si>
    <t>priority</t>
    <phoneticPr fontId="3" type="noConversion"/>
  </si>
  <si>
    <t>隐私</t>
  </si>
  <si>
    <t>privacy</t>
    <phoneticPr fontId="3" type="noConversion"/>
  </si>
  <si>
    <t>奖金</t>
  </si>
  <si>
    <t>prize</t>
    <phoneticPr fontId="3" type="noConversion"/>
  </si>
  <si>
    <t>问题</t>
  </si>
  <si>
    <t>problem</t>
    <phoneticPr fontId="3" type="noConversion"/>
  </si>
  <si>
    <t>产品</t>
  </si>
  <si>
    <t>product</t>
    <phoneticPr fontId="3" type="noConversion"/>
  </si>
  <si>
    <t>production</t>
    <phoneticPr fontId="3" type="noConversion"/>
  </si>
  <si>
    <t>教授</t>
  </si>
  <si>
    <t>professors</t>
    <phoneticPr fontId="3" type="noConversion"/>
  </si>
  <si>
    <t>利润</t>
  </si>
  <si>
    <t>profit</t>
    <phoneticPr fontId="3" type="noConversion"/>
  </si>
  <si>
    <t>工程，项目，课题</t>
  </si>
  <si>
    <t>project</t>
    <phoneticPr fontId="3" type="noConversion"/>
  </si>
  <si>
    <t>升职</t>
  </si>
  <si>
    <t>promotion</t>
    <phoneticPr fontId="3" type="noConversion"/>
  </si>
  <si>
    <t>容易，倾向于</t>
  </si>
  <si>
    <t>prone</t>
    <phoneticPr fontId="3" type="noConversion"/>
  </si>
  <si>
    <t>财产</t>
  </si>
  <si>
    <t>property</t>
    <phoneticPr fontId="3" type="noConversion"/>
  </si>
  <si>
    <t>简章，简介</t>
  </si>
  <si>
    <t>prospectus</t>
    <phoneticPr fontId="3" type="noConversion"/>
  </si>
  <si>
    <t>蛋白质</t>
  </si>
  <si>
    <t>protein</t>
    <phoneticPr fontId="3" type="noConversion"/>
  </si>
  <si>
    <t>精神病学家</t>
  </si>
  <si>
    <t>psychiatrist</t>
    <phoneticPr fontId="3" type="noConversion"/>
  </si>
  <si>
    <t>心理学家</t>
  </si>
  <si>
    <t>psychologist</t>
    <phoneticPr fontId="3" type="noConversion"/>
  </si>
  <si>
    <t>精神疗法</t>
  </si>
  <si>
    <t>psychotherapy</t>
    <phoneticPr fontId="3" type="noConversion"/>
  </si>
  <si>
    <t>出版物</t>
  </si>
  <si>
    <t>publication</t>
    <phoneticPr fontId="3" type="noConversion"/>
  </si>
  <si>
    <t>泵</t>
  </si>
  <si>
    <t>pump</t>
    <phoneticPr fontId="3" type="noConversion"/>
  </si>
  <si>
    <t>目的</t>
  </si>
  <si>
    <t>purpose</t>
    <phoneticPr fontId="3" type="noConversion"/>
  </si>
  <si>
    <t>钱包</t>
  </si>
  <si>
    <t>purse</t>
    <phoneticPr fontId="3" type="noConversion"/>
  </si>
  <si>
    <t>质量</t>
  </si>
  <si>
    <t>quality</t>
    <phoneticPr fontId="3" type="noConversion"/>
  </si>
  <si>
    <t>quantity</t>
    <phoneticPr fontId="3" type="noConversion"/>
  </si>
  <si>
    <t>四分之一</t>
  </si>
  <si>
    <t>quarter</t>
    <phoneticPr fontId="3" type="noConversion"/>
  </si>
  <si>
    <t>question</t>
    <phoneticPr fontId="3" type="noConversion"/>
  </si>
  <si>
    <t>雷达</t>
  </si>
  <si>
    <t>radar</t>
    <phoneticPr fontId="3" type="noConversion"/>
  </si>
  <si>
    <t>冷却器，电暖片</t>
  </si>
  <si>
    <t>radiator</t>
    <phoneticPr fontId="3" type="noConversion"/>
  </si>
  <si>
    <t>收音机</t>
  </si>
  <si>
    <t>radio</t>
    <phoneticPr fontId="3" type="noConversion"/>
  </si>
  <si>
    <t>铁路</t>
  </si>
  <si>
    <t>railway</t>
    <phoneticPr fontId="3" type="noConversion"/>
  </si>
  <si>
    <t>雨</t>
  </si>
  <si>
    <t>rain</t>
    <phoneticPr fontId="3" type="noConversion"/>
  </si>
  <si>
    <t>降水</t>
  </si>
  <si>
    <t>rainfall</t>
    <phoneticPr fontId="3" type="noConversion"/>
  </si>
  <si>
    <t>范围</t>
  </si>
  <si>
    <t>range</t>
    <phoneticPr fontId="3" type="noConversion"/>
  </si>
  <si>
    <t>等级</t>
  </si>
  <si>
    <t>rank</t>
    <phoneticPr fontId="3" type="noConversion"/>
  </si>
  <si>
    <t>老鼠</t>
  </si>
  <si>
    <t>rat</t>
    <phoneticPr fontId="3" type="noConversion"/>
  </si>
  <si>
    <t>比例</t>
  </si>
  <si>
    <t>rate</t>
    <phoneticPr fontId="3" type="noConversion"/>
  </si>
  <si>
    <t>rats</t>
    <phoneticPr fontId="3" type="noConversion"/>
  </si>
  <si>
    <t>光线</t>
  </si>
  <si>
    <t>ray</t>
    <phoneticPr fontId="3" type="noConversion"/>
  </si>
  <si>
    <t>读者</t>
  </si>
  <si>
    <t>reader</t>
    <phoneticPr fontId="3" type="noConversion"/>
  </si>
  <si>
    <t>阅读</t>
  </si>
  <si>
    <t>reading</t>
    <phoneticPr fontId="3" type="noConversion"/>
  </si>
  <si>
    <t>理由</t>
  </si>
  <si>
    <t>reason</t>
    <phoneticPr fontId="3" type="noConversion"/>
  </si>
  <si>
    <t>接待处，招待会</t>
  </si>
  <si>
    <t>reception</t>
    <phoneticPr fontId="3" type="noConversion"/>
  </si>
  <si>
    <t>处方</t>
  </si>
  <si>
    <t>recipe</t>
    <phoneticPr fontId="3" type="noConversion"/>
  </si>
  <si>
    <t>录音机</t>
  </si>
  <si>
    <t>recorder</t>
    <phoneticPr fontId="3" type="noConversion"/>
  </si>
  <si>
    <t>录音</t>
  </si>
  <si>
    <t>recording</t>
    <phoneticPr fontId="3" type="noConversion"/>
  </si>
  <si>
    <t>娱乐，消遣</t>
  </si>
  <si>
    <t>recreation</t>
    <phoneticPr fontId="3" type="noConversion"/>
  </si>
  <si>
    <t>招聘</t>
  </si>
  <si>
    <t>recruit</t>
    <phoneticPr fontId="3" type="noConversion"/>
  </si>
  <si>
    <t>回收</t>
  </si>
  <si>
    <t>recycling</t>
    <phoneticPr fontId="3" type="noConversion"/>
  </si>
  <si>
    <t>裁判员</t>
  </si>
  <si>
    <t>referee</t>
    <phoneticPr fontId="3" type="noConversion"/>
  </si>
  <si>
    <t>参考书目，证明人</t>
  </si>
  <si>
    <t>reference</t>
    <phoneticPr fontId="3" type="noConversion"/>
  </si>
  <si>
    <t>反射系数</t>
  </si>
  <si>
    <t>reflectance</t>
    <phoneticPr fontId="3" type="noConversion"/>
  </si>
  <si>
    <t>改革</t>
  </si>
  <si>
    <t>reform</t>
    <phoneticPr fontId="3" type="noConversion"/>
  </si>
  <si>
    <t>避难所</t>
  </si>
  <si>
    <t>refuge</t>
    <phoneticPr fontId="3" type="noConversion"/>
  </si>
  <si>
    <t>region</t>
    <phoneticPr fontId="3" type="noConversion"/>
  </si>
  <si>
    <t>规章制度</t>
  </si>
  <si>
    <t>regulation</t>
    <phoneticPr fontId="3" type="noConversion"/>
  </si>
  <si>
    <t>关系</t>
  </si>
  <si>
    <t>relation</t>
    <phoneticPr fontId="3" type="noConversion"/>
  </si>
  <si>
    <t>relationship</t>
    <phoneticPr fontId="3" type="noConversion"/>
  </si>
  <si>
    <t>放松</t>
  </si>
  <si>
    <t>relaxation</t>
    <phoneticPr fontId="3" type="noConversion"/>
  </si>
  <si>
    <t>减轻</t>
  </si>
  <si>
    <t>relief</t>
    <phoneticPr fontId="3" type="noConversion"/>
  </si>
  <si>
    <t>宗教</t>
  </si>
  <si>
    <t>religion</t>
    <phoneticPr fontId="3" type="noConversion"/>
  </si>
  <si>
    <t>评价</t>
  </si>
  <si>
    <t>remark</t>
    <phoneticPr fontId="3" type="noConversion"/>
  </si>
  <si>
    <t>去掉</t>
  </si>
  <si>
    <t>removal</t>
    <phoneticPr fontId="3" type="noConversion"/>
  </si>
  <si>
    <t>更新，续借</t>
  </si>
  <si>
    <t>renewal</t>
    <phoneticPr fontId="3" type="noConversion"/>
  </si>
  <si>
    <t>房租</t>
  </si>
  <si>
    <t>rent</t>
    <phoneticPr fontId="3" type="noConversion"/>
  </si>
  <si>
    <t>租</t>
  </si>
  <si>
    <t>rental</t>
    <phoneticPr fontId="3" type="noConversion"/>
  </si>
  <si>
    <t>重复</t>
  </si>
  <si>
    <t>repetition</t>
    <phoneticPr fontId="3" type="noConversion"/>
  </si>
  <si>
    <t>替代</t>
  </si>
  <si>
    <t>replacement</t>
    <phoneticPr fontId="3" type="noConversion"/>
  </si>
  <si>
    <t>报告</t>
  </si>
  <si>
    <t>report</t>
    <phoneticPr fontId="3" type="noConversion"/>
  </si>
  <si>
    <t>再生产</t>
  </si>
  <si>
    <t>reproduce</t>
    <phoneticPr fontId="3" type="noConversion"/>
  </si>
  <si>
    <t>研究</t>
  </si>
  <si>
    <t>research</t>
    <phoneticPr fontId="3" type="noConversion"/>
  </si>
  <si>
    <t>保留，预定</t>
  </si>
  <si>
    <t>reservation</t>
    <phoneticPr fontId="3" type="noConversion"/>
  </si>
  <si>
    <t>保留，预借</t>
  </si>
  <si>
    <t>reserve</t>
    <phoneticPr fontId="3" type="noConversion"/>
  </si>
  <si>
    <t>居住</t>
  </si>
  <si>
    <t>residence</t>
    <phoneticPr fontId="3" type="noConversion"/>
  </si>
  <si>
    <t>居民</t>
  </si>
  <si>
    <t>resident</t>
    <phoneticPr fontId="3" type="noConversion"/>
  </si>
  <si>
    <t>资源</t>
  </si>
  <si>
    <t>resource</t>
    <phoneticPr fontId="3" type="noConversion"/>
  </si>
  <si>
    <t>调查对象，受采访者</t>
  </si>
  <si>
    <t>respondent</t>
    <phoneticPr fontId="3" type="noConversion"/>
  </si>
  <si>
    <t>response</t>
    <phoneticPr fontId="3" type="noConversion"/>
  </si>
  <si>
    <t>餐厅</t>
  </si>
  <si>
    <t>restaurant</t>
    <phoneticPr fontId="3" type="noConversion"/>
  </si>
  <si>
    <t>result</t>
    <phoneticPr fontId="3" type="noConversion"/>
  </si>
  <si>
    <t>退休</t>
  </si>
  <si>
    <t>retirement</t>
    <phoneticPr fontId="3" type="noConversion"/>
  </si>
  <si>
    <t>往返</t>
  </si>
  <si>
    <t>return</t>
    <phoneticPr fontId="3" type="noConversion"/>
  </si>
  <si>
    <t>评论，复习</t>
  </si>
  <si>
    <t>review</t>
    <phoneticPr fontId="3" type="noConversion"/>
  </si>
  <si>
    <t>修改</t>
  </si>
  <si>
    <t>revision</t>
    <phoneticPr fontId="3" type="noConversion"/>
  </si>
  <si>
    <t>大米</t>
  </si>
  <si>
    <t>rice</t>
    <phoneticPr fontId="3" type="noConversion"/>
  </si>
  <si>
    <t>骑手</t>
  </si>
  <si>
    <t>rider</t>
    <phoneticPr fontId="3" type="noConversion"/>
  </si>
  <si>
    <t>riders</t>
    <phoneticPr fontId="3" type="noConversion"/>
  </si>
  <si>
    <t>risk</t>
    <phoneticPr fontId="3" type="noConversion"/>
  </si>
  <si>
    <t>河</t>
  </si>
  <si>
    <t>river</t>
    <phoneticPr fontId="3" type="noConversion"/>
  </si>
  <si>
    <t>机器人</t>
  </si>
  <si>
    <t>robot</t>
    <phoneticPr fontId="3" type="noConversion"/>
  </si>
  <si>
    <t>岩石</t>
  </si>
  <si>
    <t>rock</t>
    <phoneticPr fontId="3" type="noConversion"/>
  </si>
  <si>
    <t>火箭</t>
  </si>
  <si>
    <t>rocket</t>
    <phoneticPr fontId="3" type="noConversion"/>
  </si>
  <si>
    <t>角色</t>
  </si>
  <si>
    <t>role</t>
    <phoneticPr fontId="3" type="noConversion"/>
  </si>
  <si>
    <t>Chapter3 Test Paper 8</t>
    <phoneticPr fontId="3" type="noConversion"/>
  </si>
  <si>
    <t>室友</t>
  </si>
  <si>
    <t>roommates</t>
    <phoneticPr fontId="3" type="noConversion"/>
  </si>
  <si>
    <t>路线</t>
  </si>
  <si>
    <t>route</t>
    <phoneticPr fontId="3" type="noConversion"/>
  </si>
  <si>
    <t>规则</t>
  </si>
  <si>
    <t>rule</t>
    <phoneticPr fontId="3" type="noConversion"/>
  </si>
  <si>
    <t>野生动物园</t>
  </si>
  <si>
    <t>safari</t>
    <phoneticPr fontId="3" type="noConversion"/>
  </si>
  <si>
    <t>安全</t>
  </si>
  <si>
    <t>safety</t>
    <phoneticPr fontId="3" type="noConversion"/>
  </si>
  <si>
    <t>帆</t>
  </si>
  <si>
    <t>sail</t>
    <phoneticPr fontId="3" type="noConversion"/>
  </si>
  <si>
    <t>航行</t>
  </si>
  <si>
    <t>sailing</t>
    <phoneticPr fontId="3" type="noConversion"/>
  </si>
  <si>
    <t>沙拉</t>
  </si>
  <si>
    <t>salad</t>
    <phoneticPr fontId="3" type="noConversion"/>
  </si>
  <si>
    <t>salads</t>
    <phoneticPr fontId="3" type="noConversion"/>
  </si>
  <si>
    <t>薪水</t>
  </si>
  <si>
    <t>salary</t>
    <phoneticPr fontId="3" type="noConversion"/>
  </si>
  <si>
    <t>销售</t>
  </si>
  <si>
    <t>sale</t>
    <phoneticPr fontId="3" type="noConversion"/>
  </si>
  <si>
    <t>盐</t>
  </si>
  <si>
    <t>salt</t>
    <phoneticPr fontId="3" type="noConversion"/>
  </si>
  <si>
    <t>样本</t>
  </si>
  <si>
    <t>sample</t>
    <phoneticPr fontId="3" type="noConversion"/>
  </si>
  <si>
    <t>凉鞋</t>
  </si>
  <si>
    <t>sandal</t>
    <phoneticPr fontId="3" type="noConversion"/>
  </si>
  <si>
    <t>卫星</t>
  </si>
  <si>
    <t>satellite</t>
    <phoneticPr fontId="3" type="noConversion"/>
  </si>
  <si>
    <t>酱油</t>
  </si>
  <si>
    <t>sauce</t>
    <phoneticPr fontId="3" type="noConversion"/>
  </si>
  <si>
    <t>存钱</t>
  </si>
  <si>
    <t>saving</t>
    <phoneticPr fontId="3" type="noConversion"/>
  </si>
  <si>
    <t>天平</t>
  </si>
  <si>
    <t>scale</t>
    <phoneticPr fontId="3" type="noConversion"/>
  </si>
  <si>
    <t>丑闻</t>
  </si>
  <si>
    <t>scandal</t>
    <phoneticPr fontId="3" type="noConversion"/>
  </si>
  <si>
    <t>scandals</t>
    <phoneticPr fontId="3" type="noConversion"/>
  </si>
  <si>
    <t>伤疤</t>
  </si>
  <si>
    <t>scar</t>
    <phoneticPr fontId="3" type="noConversion"/>
  </si>
  <si>
    <t>气味</t>
  </si>
  <si>
    <t>scent</t>
    <phoneticPr fontId="3" type="noConversion"/>
  </si>
  <si>
    <t>时间表</t>
  </si>
  <si>
    <t>schedule</t>
    <phoneticPr fontId="3" type="noConversion"/>
  </si>
  <si>
    <t>方案</t>
  </si>
  <si>
    <t>scheme</t>
    <phoneticPr fontId="3" type="noConversion"/>
  </si>
  <si>
    <t>学者</t>
  </si>
  <si>
    <t>scholar</t>
    <phoneticPr fontId="3" type="noConversion"/>
  </si>
  <si>
    <t>奖学金</t>
  </si>
  <si>
    <t>scholarship</t>
    <phoneticPr fontId="3" type="noConversion"/>
  </si>
  <si>
    <t>科学，理科</t>
  </si>
  <si>
    <t>science</t>
    <phoneticPr fontId="3" type="noConversion"/>
  </si>
  <si>
    <t>科学家</t>
  </si>
  <si>
    <t>scientist</t>
    <phoneticPr fontId="3" type="noConversion"/>
  </si>
  <si>
    <t>score</t>
    <phoneticPr fontId="3" type="noConversion"/>
  </si>
  <si>
    <t>手稿</t>
  </si>
  <si>
    <t>script</t>
    <phoneticPr fontId="3" type="noConversion"/>
  </si>
  <si>
    <t>sculpture</t>
    <phoneticPr fontId="3" type="noConversion"/>
  </si>
  <si>
    <t>大海，海洋</t>
  </si>
  <si>
    <t>sea</t>
    <phoneticPr fontId="3" type="noConversion"/>
  </si>
  <si>
    <t>季节</t>
  </si>
  <si>
    <t>season</t>
    <phoneticPr fontId="3" type="noConversion"/>
  </si>
  <si>
    <t>座位</t>
  </si>
  <si>
    <t>seat</t>
    <phoneticPr fontId="3" type="noConversion"/>
  </si>
  <si>
    <t>秒</t>
  </si>
  <si>
    <t>second</t>
    <phoneticPr fontId="3" type="noConversion"/>
  </si>
  <si>
    <t>秘书</t>
  </si>
  <si>
    <t>secretary</t>
    <phoneticPr fontId="3" type="noConversion"/>
  </si>
  <si>
    <t>部分</t>
  </si>
  <si>
    <t>section</t>
    <phoneticPr fontId="3" type="noConversion"/>
  </si>
  <si>
    <t>sector</t>
    <phoneticPr fontId="3" type="noConversion"/>
  </si>
  <si>
    <t>selection</t>
    <phoneticPr fontId="3" type="noConversion"/>
  </si>
  <si>
    <t>selections</t>
    <phoneticPr fontId="3" type="noConversion"/>
  </si>
  <si>
    <t>学术研讨会</t>
  </si>
  <si>
    <t>seminar</t>
    <phoneticPr fontId="3" type="noConversion"/>
  </si>
  <si>
    <t>感觉</t>
  </si>
  <si>
    <t>sense</t>
    <phoneticPr fontId="3" type="noConversion"/>
  </si>
  <si>
    <t>句子</t>
  </si>
  <si>
    <t>sentence</t>
    <phoneticPr fontId="3" type="noConversion"/>
  </si>
  <si>
    <t>佣人，仆人</t>
  </si>
  <si>
    <t>servant</t>
    <phoneticPr fontId="3" type="noConversion"/>
  </si>
  <si>
    <t>服务</t>
  </si>
  <si>
    <t>service</t>
    <phoneticPr fontId="3" type="noConversion"/>
  </si>
  <si>
    <t>污水</t>
  </si>
  <si>
    <t>sewage</t>
    <phoneticPr fontId="3" type="noConversion"/>
  </si>
  <si>
    <t>下水道</t>
  </si>
  <si>
    <t>sewer</t>
    <phoneticPr fontId="3" type="noConversion"/>
  </si>
  <si>
    <t>sex</t>
    <phoneticPr fontId="3" type="noConversion"/>
  </si>
  <si>
    <t>阴影</t>
  </si>
  <si>
    <t>shade</t>
    <phoneticPr fontId="3" type="noConversion"/>
  </si>
  <si>
    <t>羊</t>
  </si>
  <si>
    <t>sheep</t>
    <phoneticPr fontId="3" type="noConversion"/>
  </si>
  <si>
    <t>sheet</t>
    <phoneticPr fontId="3" type="noConversion"/>
  </si>
  <si>
    <t>架子</t>
  </si>
  <si>
    <t>shelf</t>
    <phoneticPr fontId="3" type="noConversion"/>
  </si>
  <si>
    <t>贝壳</t>
  </si>
  <si>
    <t>shell</t>
    <phoneticPr fontId="3" type="noConversion"/>
  </si>
  <si>
    <t>遮蔽处</t>
  </si>
  <si>
    <t>shelter</t>
    <phoneticPr fontId="3" type="noConversion"/>
  </si>
  <si>
    <t>ship</t>
    <phoneticPr fontId="3" type="noConversion"/>
  </si>
  <si>
    <t>鞋</t>
  </si>
  <si>
    <t>shoe</t>
    <phoneticPr fontId="3" type="noConversion"/>
  </si>
  <si>
    <t>商店扒手</t>
  </si>
  <si>
    <t>shoplifters</t>
    <phoneticPr fontId="3" type="noConversion"/>
  </si>
  <si>
    <t>购物者</t>
  </si>
  <si>
    <t>shopper</t>
    <phoneticPr fontId="3" type="noConversion"/>
  </si>
  <si>
    <t>不足，缺点</t>
  </si>
  <si>
    <t>shortage</t>
    <phoneticPr fontId="3" type="noConversion"/>
  </si>
  <si>
    <t>淋浴</t>
  </si>
  <si>
    <t>shower</t>
    <phoneticPr fontId="3" type="noConversion"/>
  </si>
  <si>
    <t>面，边</t>
  </si>
  <si>
    <t>side</t>
    <phoneticPr fontId="3" type="noConversion"/>
  </si>
  <si>
    <t>视界，视野</t>
  </si>
  <si>
    <t>sight</t>
    <phoneticPr fontId="3" type="noConversion"/>
  </si>
  <si>
    <t>标记</t>
  </si>
  <si>
    <t>sign</t>
    <phoneticPr fontId="3" type="noConversion"/>
  </si>
  <si>
    <t>签名</t>
  </si>
  <si>
    <t>signature</t>
    <phoneticPr fontId="3" type="noConversion"/>
  </si>
  <si>
    <t>安静</t>
  </si>
  <si>
    <t>silence</t>
    <phoneticPr fontId="3" type="noConversion"/>
  </si>
  <si>
    <t>模拟</t>
  </si>
  <si>
    <t>simulation</t>
    <phoneticPr fontId="3" type="noConversion"/>
  </si>
  <si>
    <t>单程</t>
  </si>
  <si>
    <t>single</t>
    <phoneticPr fontId="3" type="noConversion"/>
  </si>
  <si>
    <t>位置，地点</t>
  </si>
  <si>
    <t>site</t>
    <phoneticPr fontId="3" type="noConversion"/>
  </si>
  <si>
    <t>大小</t>
  </si>
  <si>
    <t>size</t>
    <phoneticPr fontId="3" type="noConversion"/>
  </si>
  <si>
    <t>滑冰</t>
  </si>
  <si>
    <t>skating</t>
    <phoneticPr fontId="3" type="noConversion"/>
  </si>
  <si>
    <t>骨架</t>
  </si>
  <si>
    <t>skeleton</t>
    <phoneticPr fontId="3" type="noConversion"/>
  </si>
  <si>
    <t>技能</t>
  </si>
  <si>
    <t>skill</t>
    <phoneticPr fontId="3" type="noConversion"/>
  </si>
  <si>
    <t>皮肤</t>
  </si>
  <si>
    <t>skin</t>
    <phoneticPr fontId="3" type="noConversion"/>
  </si>
  <si>
    <t>短裙</t>
  </si>
  <si>
    <t>skirt</t>
    <phoneticPr fontId="3" type="noConversion"/>
  </si>
  <si>
    <t>俚语</t>
  </si>
  <si>
    <t>slang</t>
    <phoneticPr fontId="3" type="noConversion"/>
  </si>
  <si>
    <t>奴隶</t>
  </si>
  <si>
    <t>slave</t>
    <phoneticPr fontId="3" type="noConversion"/>
  </si>
  <si>
    <t>睡觉</t>
  </si>
  <si>
    <t>sleep</t>
    <phoneticPr fontId="3" type="noConversion"/>
  </si>
  <si>
    <t>睡眠</t>
  </si>
  <si>
    <t>sleeping</t>
    <phoneticPr fontId="3" type="noConversion"/>
  </si>
  <si>
    <t>一张纸</t>
  </si>
  <si>
    <t>slip</t>
    <phoneticPr fontId="3" type="noConversion"/>
  </si>
  <si>
    <t>气味，臭味</t>
  </si>
  <si>
    <t>smell</t>
    <phoneticPr fontId="3" type="noConversion"/>
  </si>
  <si>
    <t>烟，吸烟</t>
  </si>
  <si>
    <t>smoke</t>
    <phoneticPr fontId="3" type="noConversion"/>
  </si>
  <si>
    <t>吸烟</t>
  </si>
  <si>
    <t>smoking</t>
    <phoneticPr fontId="3" type="noConversion"/>
  </si>
  <si>
    <t>快餐，零食</t>
  </si>
  <si>
    <t>snack</t>
    <phoneticPr fontId="3" type="noConversion"/>
  </si>
  <si>
    <t>土壤</t>
  </si>
  <si>
    <t>soil</t>
    <phoneticPr fontId="3" type="noConversion"/>
  </si>
  <si>
    <t>解决，解决方案</t>
  </si>
  <si>
    <t>solution</t>
    <phoneticPr fontId="3" type="noConversion"/>
  </si>
  <si>
    <t>声音</t>
  </si>
  <si>
    <t>sound</t>
    <phoneticPr fontId="3" type="noConversion"/>
  </si>
  <si>
    <t>来源</t>
  </si>
  <si>
    <t>source</t>
    <phoneticPr fontId="3" type="noConversion"/>
  </si>
  <si>
    <t>南</t>
  </si>
  <si>
    <t>south</t>
    <phoneticPr fontId="3" type="noConversion"/>
  </si>
  <si>
    <t>东南</t>
  </si>
  <si>
    <t>southeast</t>
    <phoneticPr fontId="3" type="noConversion"/>
  </si>
  <si>
    <t>西南</t>
  </si>
  <si>
    <t>southwest</t>
    <phoneticPr fontId="3" type="noConversion"/>
  </si>
  <si>
    <t>空间</t>
  </si>
  <si>
    <t>space</t>
    <phoneticPr fontId="3" type="noConversion"/>
  </si>
  <si>
    <t>演讲者</t>
  </si>
  <si>
    <t>speaker</t>
    <phoneticPr fontId="3" type="noConversion"/>
  </si>
  <si>
    <t>口语</t>
  </si>
  <si>
    <t>speaking</t>
    <phoneticPr fontId="3" type="noConversion"/>
  </si>
  <si>
    <t>速度</t>
  </si>
  <si>
    <t>speed</t>
    <phoneticPr fontId="3" type="noConversion"/>
  </si>
  <si>
    <t>spending</t>
    <phoneticPr fontId="3" type="noConversion"/>
  </si>
  <si>
    <t>蜘蛛</t>
  </si>
  <si>
    <t>spider</t>
    <phoneticPr fontId="3" type="noConversion"/>
  </si>
  <si>
    <t>赞助者</t>
  </si>
  <si>
    <t>sponsor</t>
    <phoneticPr fontId="3" type="noConversion"/>
  </si>
  <si>
    <t>汤勺</t>
  </si>
  <si>
    <t>spoons</t>
    <phoneticPr fontId="3" type="noConversion"/>
  </si>
  <si>
    <t>男运动员</t>
  </si>
  <si>
    <t>sportsman</t>
    <phoneticPr fontId="3" type="noConversion"/>
  </si>
  <si>
    <t>地点</t>
  </si>
  <si>
    <t>spot</t>
    <phoneticPr fontId="3" type="noConversion"/>
  </si>
  <si>
    <t>稳定</t>
  </si>
  <si>
    <t>stability</t>
    <phoneticPr fontId="3" type="noConversion"/>
  </si>
  <si>
    <t>书库</t>
  </si>
  <si>
    <t>stack</t>
    <phoneticPr fontId="3" type="noConversion"/>
  </si>
  <si>
    <t>舞台，阶段</t>
  </si>
  <si>
    <t>stage</t>
    <phoneticPr fontId="3" type="noConversion"/>
  </si>
  <si>
    <t>楼梯</t>
  </si>
  <si>
    <t>stair</t>
    <phoneticPr fontId="3" type="noConversion"/>
  </si>
  <si>
    <t>标准</t>
  </si>
  <si>
    <t>standard</t>
    <phoneticPr fontId="3" type="noConversion"/>
  </si>
  <si>
    <t>恒星</t>
  </si>
  <si>
    <t>star</t>
    <phoneticPr fontId="3" type="noConversion"/>
  </si>
  <si>
    <t>开胃品</t>
  </si>
  <si>
    <t>starter</t>
    <phoneticPr fontId="3" type="noConversion"/>
  </si>
  <si>
    <t>开始</t>
  </si>
  <si>
    <t>starting</t>
    <phoneticPr fontId="3" type="noConversion"/>
  </si>
  <si>
    <t>州</t>
  </si>
  <si>
    <t>state</t>
    <phoneticPr fontId="3" type="noConversion"/>
  </si>
  <si>
    <t>陈述</t>
  </si>
  <si>
    <t>statement</t>
    <phoneticPr fontId="3" type="noConversion"/>
  </si>
  <si>
    <t>车站</t>
  </si>
  <si>
    <t>station</t>
    <phoneticPr fontId="3" type="noConversion"/>
  </si>
  <si>
    <t>地位</t>
  </si>
  <si>
    <t>status</t>
    <phoneticPr fontId="3" type="noConversion"/>
  </si>
  <si>
    <t>牛排</t>
  </si>
  <si>
    <t>steak</t>
    <phoneticPr fontId="3" type="noConversion"/>
  </si>
  <si>
    <t>蒸汽</t>
  </si>
  <si>
    <t>steam</t>
    <phoneticPr fontId="3" type="noConversion"/>
  </si>
  <si>
    <t>步骤，台阶</t>
  </si>
  <si>
    <t>step</t>
    <phoneticPr fontId="3" type="noConversion"/>
  </si>
  <si>
    <t>刺</t>
  </si>
  <si>
    <t>sting</t>
    <phoneticPr fontId="3" type="noConversion"/>
  </si>
  <si>
    <t>存货，股票</t>
  </si>
  <si>
    <t>stock</t>
    <phoneticPr fontId="3" type="noConversion"/>
  </si>
  <si>
    <t>胃，腹部</t>
  </si>
  <si>
    <t>stomach</t>
    <phoneticPr fontId="3" type="noConversion"/>
  </si>
  <si>
    <t>胃痛</t>
  </si>
  <si>
    <t>stomachache</t>
    <phoneticPr fontId="3" type="noConversion"/>
  </si>
  <si>
    <t>石头</t>
  </si>
  <si>
    <t>stone</t>
    <phoneticPr fontId="3" type="noConversion"/>
  </si>
  <si>
    <t>商场</t>
  </si>
  <si>
    <t>store</t>
    <phoneticPr fontId="3" type="noConversion"/>
  </si>
  <si>
    <t>故事</t>
  </si>
  <si>
    <t>story</t>
    <phoneticPr fontId="3" type="noConversion"/>
  </si>
  <si>
    <t>策略</t>
  </si>
  <si>
    <t>strategy</t>
    <phoneticPr fontId="3" type="noConversion"/>
  </si>
  <si>
    <t>力量</t>
  </si>
  <si>
    <t>strength</t>
    <phoneticPr fontId="3" type="noConversion"/>
  </si>
  <si>
    <t>罢工</t>
  </si>
  <si>
    <t>strike</t>
    <phoneticPr fontId="3" type="noConversion"/>
  </si>
  <si>
    <t>风格</t>
  </si>
  <si>
    <t>style</t>
    <phoneticPr fontId="3" type="noConversion"/>
  </si>
  <si>
    <t>主题，学科</t>
  </si>
  <si>
    <t>subject</t>
    <phoneticPr fontId="3" type="noConversion"/>
  </si>
  <si>
    <t>西装</t>
  </si>
  <si>
    <t>suit</t>
    <phoneticPr fontId="3" type="noConversion"/>
  </si>
  <si>
    <t>subsidy</t>
    <phoneticPr fontId="3" type="noConversion"/>
  </si>
  <si>
    <t>郊区</t>
  </si>
  <si>
    <t>suburb</t>
    <phoneticPr fontId="3" type="noConversion"/>
  </si>
  <si>
    <t>糖</t>
  </si>
  <si>
    <t>sugar</t>
    <phoneticPr fontId="3" type="noConversion"/>
  </si>
  <si>
    <t>表面</t>
  </si>
  <si>
    <t>surface</t>
    <phoneticPr fontId="3" type="noConversion"/>
  </si>
  <si>
    <t>遮阳板</t>
  </si>
  <si>
    <t>sunshield</t>
    <phoneticPr fontId="3" type="noConversion"/>
  </si>
  <si>
    <t>导师</t>
  </si>
  <si>
    <t>supervisor</t>
    <phoneticPr fontId="3" type="noConversion"/>
  </si>
  <si>
    <t>支柱，支撑</t>
  </si>
  <si>
    <t>supports</t>
    <phoneticPr fontId="3" type="noConversion"/>
  </si>
  <si>
    <t>测量，调查</t>
  </si>
  <si>
    <t>survey</t>
    <phoneticPr fontId="3" type="noConversion"/>
  </si>
  <si>
    <t>外科医生</t>
  </si>
  <si>
    <t>surgeon</t>
    <phoneticPr fontId="3" type="noConversion"/>
  </si>
  <si>
    <t>姓</t>
  </si>
  <si>
    <t>surname</t>
    <phoneticPr fontId="3" type="noConversion"/>
  </si>
  <si>
    <t>惊奇</t>
  </si>
  <si>
    <t>surprise</t>
    <phoneticPr fontId="3" type="noConversion"/>
  </si>
  <si>
    <t>开关</t>
  </si>
  <si>
    <t>switches</t>
    <phoneticPr fontId="3" type="noConversion"/>
  </si>
  <si>
    <t>生存</t>
  </si>
  <si>
    <t>survival</t>
    <phoneticPr fontId="3" type="noConversion"/>
  </si>
  <si>
    <t>毛衣</t>
  </si>
  <si>
    <t>sweater</t>
    <phoneticPr fontId="3" type="noConversion"/>
  </si>
  <si>
    <t>switch</t>
    <phoneticPr fontId="3" type="noConversion"/>
  </si>
  <si>
    <t>系统，体系</t>
  </si>
  <si>
    <t>system</t>
    <phoneticPr fontId="3" type="noConversion"/>
  </si>
  <si>
    <t>症状</t>
  </si>
  <si>
    <t>symptom</t>
    <phoneticPr fontId="3" type="noConversion"/>
  </si>
  <si>
    <t>财团</t>
  </si>
  <si>
    <t>syndicate</t>
    <phoneticPr fontId="3" type="noConversion"/>
  </si>
  <si>
    <t>糖浆</t>
  </si>
  <si>
    <t>syrup</t>
    <phoneticPr fontId="3" type="noConversion"/>
  </si>
  <si>
    <t>税收</t>
  </si>
  <si>
    <t>tax</t>
    <phoneticPr fontId="3" type="noConversion"/>
  </si>
  <si>
    <t>桌子，图表</t>
  </si>
  <si>
    <t>table</t>
    <phoneticPr fontId="3" type="noConversion"/>
  </si>
  <si>
    <t>药片</t>
  </si>
  <si>
    <t>tablet</t>
    <phoneticPr fontId="3" type="noConversion"/>
  </si>
  <si>
    <t>磁带</t>
  </si>
  <si>
    <t>tape</t>
    <phoneticPr fontId="3" type="noConversion"/>
  </si>
  <si>
    <t>Chapter3 Test Paper 9</t>
    <phoneticPr fontId="3" type="noConversion"/>
  </si>
  <si>
    <t>taxi</t>
    <phoneticPr fontId="3" type="noConversion"/>
  </si>
  <si>
    <t>茶</t>
  </si>
  <si>
    <t>tea</t>
    <phoneticPr fontId="3" type="noConversion"/>
  </si>
  <si>
    <t>教师</t>
  </si>
  <si>
    <t>teacher</t>
    <phoneticPr fontId="3" type="noConversion"/>
  </si>
  <si>
    <t>教学</t>
  </si>
  <si>
    <t>teaching</t>
    <phoneticPr fontId="3" type="noConversion"/>
  </si>
  <si>
    <t>队伍，小组</t>
  </si>
  <si>
    <t>team</t>
    <phoneticPr fontId="3" type="noConversion"/>
  </si>
  <si>
    <t>行话，黑话</t>
  </si>
  <si>
    <t>jargon</t>
    <phoneticPr fontId="3" type="noConversion"/>
  </si>
  <si>
    <t>学期，术语</t>
  </si>
  <si>
    <t>term</t>
    <phoneticPr fontId="3" type="noConversion"/>
  </si>
  <si>
    <t>科技</t>
  </si>
  <si>
    <t>technology</t>
    <phoneticPr fontId="3" type="noConversion"/>
  </si>
  <si>
    <t>牙齿</t>
  </si>
  <si>
    <t>teeth</t>
    <phoneticPr fontId="3" type="noConversion"/>
  </si>
  <si>
    <t>电话</t>
  </si>
  <si>
    <t>telephone</t>
    <phoneticPr fontId="3" type="noConversion"/>
  </si>
  <si>
    <t>望远镜</t>
  </si>
  <si>
    <t>telescope</t>
    <phoneticPr fontId="3" type="noConversion"/>
  </si>
  <si>
    <t>电视</t>
  </si>
  <si>
    <t>television</t>
    <phoneticPr fontId="3" type="noConversion"/>
  </si>
  <si>
    <t>脾气</t>
  </si>
  <si>
    <t>temper</t>
    <phoneticPr fontId="3" type="noConversion"/>
  </si>
  <si>
    <t>寺庙</t>
  </si>
  <si>
    <t>temple</t>
    <phoneticPr fontId="3" type="noConversion"/>
  </si>
  <si>
    <t>文章</t>
  </si>
  <si>
    <t>text</t>
    <phoneticPr fontId="3" type="noConversion"/>
  </si>
  <si>
    <t>质地</t>
  </si>
  <si>
    <t>texture</t>
    <phoneticPr fontId="3" type="noConversion"/>
  </si>
  <si>
    <t>银河</t>
  </si>
  <si>
    <t>galaxy</t>
    <phoneticPr fontId="3" type="noConversion"/>
  </si>
  <si>
    <t>盗窃</t>
  </si>
  <si>
    <t>theft</t>
    <phoneticPr fontId="3" type="noConversion"/>
  </si>
  <si>
    <t>理论</t>
  </si>
  <si>
    <t>theory</t>
    <phoneticPr fontId="3" type="noConversion"/>
  </si>
  <si>
    <t>理疗专家</t>
  </si>
  <si>
    <t>therapist</t>
    <phoneticPr fontId="3" type="noConversion"/>
  </si>
  <si>
    <t>理疗，疗法</t>
  </si>
  <si>
    <t>therapy</t>
    <phoneticPr fontId="3" type="noConversion"/>
  </si>
  <si>
    <t>主题，学位论文</t>
  </si>
  <si>
    <t>thesis</t>
    <phoneticPr fontId="3" type="noConversion"/>
  </si>
  <si>
    <t>小偷</t>
  </si>
  <si>
    <t>thief</t>
    <phoneticPr fontId="3" type="noConversion"/>
  </si>
  <si>
    <t>thieves</t>
    <phoneticPr fontId="3" type="noConversion"/>
  </si>
  <si>
    <t>思考</t>
  </si>
  <si>
    <t>thinking</t>
    <phoneticPr fontId="3" type="noConversion"/>
  </si>
  <si>
    <t>第三</t>
  </si>
  <si>
    <t>third</t>
    <phoneticPr fontId="3" type="noConversion"/>
  </si>
  <si>
    <t>想法</t>
  </si>
  <si>
    <t>thought</t>
    <phoneticPr fontId="3" type="noConversion"/>
  </si>
  <si>
    <t>威胁</t>
  </si>
  <si>
    <t>threat</t>
    <phoneticPr fontId="3" type="noConversion"/>
  </si>
  <si>
    <t>惊悚片</t>
  </si>
  <si>
    <t>thriller</t>
    <phoneticPr fontId="3" type="noConversion"/>
  </si>
  <si>
    <t>票</t>
  </si>
  <si>
    <t>ticket</t>
    <phoneticPr fontId="3" type="noConversion"/>
  </si>
  <si>
    <t>潮水</t>
  </si>
  <si>
    <t>tide</t>
    <phoneticPr fontId="3" type="noConversion"/>
  </si>
  <si>
    <t>tides</t>
    <phoneticPr fontId="3" type="noConversion"/>
  </si>
  <si>
    <t>瓦</t>
  </si>
  <si>
    <t>tile</t>
    <phoneticPr fontId="3" type="noConversion"/>
  </si>
  <si>
    <t>木材</t>
  </si>
  <si>
    <t>timber</t>
    <phoneticPr fontId="3" type="noConversion"/>
  </si>
  <si>
    <t>时间</t>
  </si>
  <si>
    <t>time</t>
    <phoneticPr fontId="3" type="noConversion"/>
  </si>
  <si>
    <t>标题，题目</t>
  </si>
  <si>
    <t>title</t>
    <phoneticPr fontId="3" type="noConversion"/>
  </si>
  <si>
    <t>烤面包机</t>
  </si>
  <si>
    <t>toaster</t>
    <phoneticPr fontId="3" type="noConversion"/>
  </si>
  <si>
    <t>卫生间</t>
  </si>
  <si>
    <t>toilet</t>
    <phoneticPr fontId="3" type="noConversion"/>
  </si>
  <si>
    <t>西红柿</t>
  </si>
  <si>
    <t>tomato</t>
    <phoneticPr fontId="3" type="noConversion"/>
  </si>
  <si>
    <t>音调</t>
  </si>
  <si>
    <t>tone</t>
    <phoneticPr fontId="3" type="noConversion"/>
  </si>
  <si>
    <t>tool</t>
    <phoneticPr fontId="3" type="noConversion"/>
  </si>
  <si>
    <t>顶尖</t>
  </si>
  <si>
    <t>top</t>
    <phoneticPr fontId="3" type="noConversion"/>
  </si>
  <si>
    <t>话题</t>
  </si>
  <si>
    <t>topic</t>
    <phoneticPr fontId="3" type="noConversion"/>
  </si>
  <si>
    <t>总数</t>
  </si>
  <si>
    <t>total</t>
    <phoneticPr fontId="3" type="noConversion"/>
  </si>
  <si>
    <t>touching</t>
    <phoneticPr fontId="3" type="noConversion"/>
  </si>
  <si>
    <t>旅游</t>
  </si>
  <si>
    <t>tour</t>
    <phoneticPr fontId="3" type="noConversion"/>
  </si>
  <si>
    <t>touring</t>
    <phoneticPr fontId="3" type="noConversion"/>
  </si>
  <si>
    <t>旅游业</t>
  </si>
  <si>
    <t>tourism</t>
    <phoneticPr fontId="3" type="noConversion"/>
  </si>
  <si>
    <t>游客</t>
  </si>
  <si>
    <t>tourist</t>
    <phoneticPr fontId="3" type="noConversion"/>
  </si>
  <si>
    <t>毛巾</t>
  </si>
  <si>
    <t>towel</t>
    <phoneticPr fontId="3" type="noConversion"/>
  </si>
  <si>
    <t>塔</t>
  </si>
  <si>
    <t>tower</t>
    <phoneticPr fontId="3" type="noConversion"/>
  </si>
  <si>
    <t>小镇</t>
  </si>
  <si>
    <t>town</t>
    <phoneticPr fontId="3" type="noConversion"/>
  </si>
  <si>
    <t>轨迹</t>
  </si>
  <si>
    <t>track</t>
    <phoneticPr fontId="3" type="noConversion"/>
  </si>
  <si>
    <t>拖拉机</t>
  </si>
  <si>
    <t>tractor</t>
    <phoneticPr fontId="3" type="noConversion"/>
  </si>
  <si>
    <t>贸易</t>
  </si>
  <si>
    <t>trade</t>
    <phoneticPr fontId="3" type="noConversion"/>
  </si>
  <si>
    <t>有轨电车</t>
  </si>
  <si>
    <t>tram</t>
    <phoneticPr fontId="3" type="noConversion"/>
  </si>
  <si>
    <t>悲剧片</t>
  </si>
  <si>
    <t>tragedy</t>
    <phoneticPr fontId="3" type="noConversion"/>
  </si>
  <si>
    <t>预告片</t>
  </si>
  <si>
    <t>trailer</t>
    <phoneticPr fontId="3" type="noConversion"/>
  </si>
  <si>
    <t>培训</t>
  </si>
  <si>
    <t>training</t>
    <phoneticPr fontId="3" type="noConversion"/>
  </si>
  <si>
    <t>趋势</t>
  </si>
  <si>
    <t>trend</t>
    <phoneticPr fontId="3" type="noConversion"/>
  </si>
  <si>
    <t>travel</t>
    <phoneticPr fontId="3" type="noConversion"/>
  </si>
  <si>
    <t>traveler</t>
    <phoneticPr fontId="3" type="noConversion"/>
  </si>
  <si>
    <t>治疗</t>
  </si>
  <si>
    <t>treatment</t>
    <phoneticPr fontId="3" type="noConversion"/>
  </si>
  <si>
    <t>旅行</t>
  </si>
  <si>
    <t>trip</t>
    <phoneticPr fontId="3" type="noConversion"/>
  </si>
  <si>
    <t>部落</t>
  </si>
  <si>
    <t>tribe</t>
    <phoneticPr fontId="3" type="noConversion"/>
  </si>
  <si>
    <t>贡品</t>
  </si>
  <si>
    <t>tribute</t>
    <phoneticPr fontId="3" type="noConversion"/>
  </si>
  <si>
    <t>tributes</t>
    <phoneticPr fontId="3" type="noConversion"/>
  </si>
  <si>
    <t>三一学院</t>
  </si>
  <si>
    <t>trinity</t>
    <phoneticPr fontId="3" type="noConversion"/>
  </si>
  <si>
    <t>电车</t>
  </si>
  <si>
    <t>trolley</t>
    <phoneticPr fontId="3" type="noConversion"/>
  </si>
  <si>
    <t>麻烦</t>
  </si>
  <si>
    <t>trouble</t>
    <phoneticPr fontId="3" type="noConversion"/>
  </si>
  <si>
    <t>管子，地铁</t>
  </si>
  <si>
    <t>tube</t>
    <phoneticPr fontId="3" type="noConversion"/>
  </si>
  <si>
    <t>隧道，地道</t>
  </si>
  <si>
    <t>tunnels</t>
    <phoneticPr fontId="3" type="noConversion"/>
  </si>
  <si>
    <t>学费</t>
  </si>
  <si>
    <t>tuition</t>
    <phoneticPr fontId="3" type="noConversion"/>
  </si>
  <si>
    <t>曲调</t>
  </si>
  <si>
    <t>tune</t>
    <phoneticPr fontId="3" type="noConversion"/>
  </si>
  <si>
    <t>tunes</t>
    <phoneticPr fontId="3" type="noConversion"/>
  </si>
  <si>
    <t>辅导教师，导师</t>
  </si>
  <si>
    <t>tutor</t>
    <phoneticPr fontId="3" type="noConversion"/>
  </si>
  <si>
    <t>类型</t>
  </si>
  <si>
    <t>type</t>
    <phoneticPr fontId="3" type="noConversion"/>
  </si>
  <si>
    <t>umpire</t>
    <phoneticPr fontId="3" type="noConversion"/>
  </si>
  <si>
    <t>理解</t>
  </si>
  <si>
    <t>understanding</t>
    <phoneticPr fontId="3" type="noConversion"/>
  </si>
  <si>
    <t>器具</t>
  </si>
  <si>
    <t>utensil</t>
    <phoneticPr fontId="3" type="noConversion"/>
  </si>
  <si>
    <t>制服</t>
  </si>
  <si>
    <t>uniform</t>
    <phoneticPr fontId="3" type="noConversion"/>
  </si>
  <si>
    <t>工会</t>
  </si>
  <si>
    <t>union</t>
    <phoneticPr fontId="3" type="noConversion"/>
  </si>
  <si>
    <t>大学</t>
  </si>
  <si>
    <t>university</t>
    <phoneticPr fontId="3" type="noConversion"/>
  </si>
  <si>
    <t>使用</t>
  </si>
  <si>
    <t>usage</t>
    <phoneticPr fontId="3" type="noConversion"/>
  </si>
  <si>
    <t>空缺</t>
  </si>
  <si>
    <t>vacancy</t>
    <phoneticPr fontId="3" type="noConversion"/>
  </si>
  <si>
    <t>vacation</t>
    <phoneticPr fontId="3" type="noConversion"/>
  </si>
  <si>
    <t>价值</t>
  </si>
  <si>
    <t>value</t>
    <phoneticPr fontId="3" type="noConversion"/>
  </si>
  <si>
    <t>variety</t>
    <phoneticPr fontId="3" type="noConversion"/>
  </si>
  <si>
    <t>蔬菜</t>
  </si>
  <si>
    <t>vegetable</t>
    <phoneticPr fontId="3" type="noConversion"/>
  </si>
  <si>
    <t>天鹅绒</t>
  </si>
  <si>
    <t>velvet</t>
    <phoneticPr fontId="3" type="noConversion"/>
  </si>
  <si>
    <t>兽医</t>
  </si>
  <si>
    <t>vet</t>
    <phoneticPr fontId="3" type="noConversion"/>
  </si>
  <si>
    <t>录像</t>
  </si>
  <si>
    <t>video</t>
    <phoneticPr fontId="3" type="noConversion"/>
  </si>
  <si>
    <t>风景，视线</t>
  </si>
  <si>
    <t>view</t>
    <phoneticPr fontId="3" type="noConversion"/>
  </si>
  <si>
    <t>山村，村庄</t>
  </si>
  <si>
    <t>village</t>
    <phoneticPr fontId="3" type="noConversion"/>
  </si>
  <si>
    <t>醋</t>
  </si>
  <si>
    <t>vinegar</t>
    <phoneticPr fontId="3" type="noConversion"/>
  </si>
  <si>
    <t>签证</t>
  </si>
  <si>
    <t>visa</t>
    <phoneticPr fontId="3" type="noConversion"/>
  </si>
  <si>
    <t>访问者</t>
  </si>
  <si>
    <t>visitor</t>
    <phoneticPr fontId="3" type="noConversion"/>
  </si>
  <si>
    <t>维生素</t>
  </si>
  <si>
    <t>vitamin</t>
    <phoneticPr fontId="3" type="noConversion"/>
  </si>
  <si>
    <t>行业，职业</t>
  </si>
  <si>
    <t>vocation</t>
    <phoneticPr fontId="3" type="noConversion"/>
  </si>
  <si>
    <t>志愿者</t>
  </si>
  <si>
    <t>volunteer</t>
    <phoneticPr fontId="3" type="noConversion"/>
  </si>
  <si>
    <t>volunteers</t>
    <phoneticPr fontId="3" type="noConversion"/>
  </si>
  <si>
    <t>腰围</t>
  </si>
  <si>
    <t>waist</t>
    <phoneticPr fontId="3" type="noConversion"/>
  </si>
  <si>
    <t>服务生</t>
  </si>
  <si>
    <t>waiter</t>
    <phoneticPr fontId="3" type="noConversion"/>
  </si>
  <si>
    <t>步行</t>
  </si>
  <si>
    <t>walk</t>
    <phoneticPr fontId="3" type="noConversion"/>
  </si>
  <si>
    <t>walking</t>
    <phoneticPr fontId="3" type="noConversion"/>
  </si>
  <si>
    <t>墙</t>
  </si>
  <si>
    <t>wall</t>
    <phoneticPr fontId="3" type="noConversion"/>
  </si>
  <si>
    <t>世界</t>
  </si>
  <si>
    <t>world</t>
    <phoneticPr fontId="3" type="noConversion"/>
  </si>
  <si>
    <t>变暖</t>
  </si>
  <si>
    <t>warming</t>
    <phoneticPr fontId="3" type="noConversion"/>
  </si>
  <si>
    <t>洗</t>
  </si>
  <si>
    <t>washing</t>
    <phoneticPr fontId="3" type="noConversion"/>
  </si>
  <si>
    <t>黄蜂</t>
  </si>
  <si>
    <t>wasp</t>
    <phoneticPr fontId="3" type="noConversion"/>
  </si>
  <si>
    <t>浪费</t>
  </si>
  <si>
    <t>waste</t>
    <phoneticPr fontId="3" type="noConversion"/>
  </si>
  <si>
    <t>荒地</t>
  </si>
  <si>
    <t>wasteland</t>
    <phoneticPr fontId="3" type="noConversion"/>
  </si>
  <si>
    <t>水</t>
  </si>
  <si>
    <t>water</t>
    <phoneticPr fontId="3" type="noConversion"/>
  </si>
  <si>
    <t>波浪</t>
  </si>
  <si>
    <t>wave</t>
    <phoneticPr fontId="3" type="noConversion"/>
  </si>
  <si>
    <t>蜡</t>
  </si>
  <si>
    <t>wax</t>
    <phoneticPr fontId="3" type="noConversion"/>
  </si>
  <si>
    <t>财富</t>
  </si>
  <si>
    <t>wealth</t>
    <phoneticPr fontId="3" type="noConversion"/>
  </si>
  <si>
    <t>武器</t>
  </si>
  <si>
    <t>weapon</t>
    <phoneticPr fontId="3" type="noConversion"/>
  </si>
  <si>
    <t>weather</t>
    <phoneticPr fontId="3" type="noConversion"/>
  </si>
  <si>
    <t>野草</t>
  </si>
  <si>
    <t>weeds</t>
    <phoneticPr fontId="3" type="noConversion"/>
  </si>
  <si>
    <t>星期</t>
  </si>
  <si>
    <t>week</t>
    <phoneticPr fontId="3" type="noConversion"/>
  </si>
  <si>
    <t>平日（非星期六，星期天）</t>
  </si>
  <si>
    <t>weekday</t>
    <phoneticPr fontId="3" type="noConversion"/>
  </si>
  <si>
    <t>周末</t>
  </si>
  <si>
    <t>weekend</t>
    <phoneticPr fontId="3" type="noConversion"/>
  </si>
  <si>
    <t>重量</t>
  </si>
  <si>
    <t>weight</t>
    <phoneticPr fontId="3" type="noConversion"/>
  </si>
  <si>
    <t>福利</t>
  </si>
  <si>
    <t>welfare</t>
    <phoneticPr fontId="3" type="noConversion"/>
  </si>
  <si>
    <t>西部</t>
  </si>
  <si>
    <t>west</t>
    <phoneticPr fontId="3" type="noConversion"/>
  </si>
  <si>
    <t>沼泽地，湿地</t>
  </si>
  <si>
    <t>wetland</t>
    <phoneticPr fontId="3" type="noConversion"/>
  </si>
  <si>
    <t>鲸鱼</t>
  </si>
  <si>
    <t>whale</t>
    <phoneticPr fontId="3" type="noConversion"/>
  </si>
  <si>
    <t>方向盘，车轮</t>
  </si>
  <si>
    <t>wheel</t>
    <phoneticPr fontId="3" type="noConversion"/>
  </si>
  <si>
    <t>宽度</t>
  </si>
  <si>
    <t>width</t>
    <phoneticPr fontId="3" type="noConversion"/>
  </si>
  <si>
    <t>柳木</t>
  </si>
  <si>
    <t>willows</t>
    <phoneticPr fontId="3" type="noConversion"/>
  </si>
  <si>
    <t>风</t>
  </si>
  <si>
    <t>wind</t>
    <phoneticPr fontId="3" type="noConversion"/>
  </si>
  <si>
    <t>翅膀</t>
  </si>
  <si>
    <t>wing</t>
    <phoneticPr fontId="3" type="noConversion"/>
  </si>
  <si>
    <t>单词</t>
  </si>
  <si>
    <t>word</t>
    <phoneticPr fontId="3" type="noConversion"/>
  </si>
  <si>
    <t>劳动力</t>
  </si>
  <si>
    <t>workforce</t>
    <phoneticPr fontId="3" type="noConversion"/>
  </si>
  <si>
    <t>工作</t>
  </si>
  <si>
    <t>working</t>
    <phoneticPr fontId="3" type="noConversion"/>
  </si>
  <si>
    <t>创伤</t>
  </si>
  <si>
    <t>wound</t>
    <phoneticPr fontId="3" type="noConversion"/>
  </si>
  <si>
    <t>写作</t>
  </si>
  <si>
    <t>writing</t>
    <phoneticPr fontId="3" type="noConversion"/>
  </si>
  <si>
    <t>年</t>
  </si>
  <si>
    <t>year</t>
    <phoneticPr fontId="3" type="noConversion"/>
  </si>
  <si>
    <t>瑜伽</t>
  </si>
  <si>
    <t>yoga</t>
    <phoneticPr fontId="3" type="noConversion"/>
  </si>
  <si>
    <t>年轻人</t>
  </si>
  <si>
    <t>youth</t>
    <phoneticPr fontId="3" type="noConversion"/>
  </si>
  <si>
    <t>zero</t>
    <phoneticPr fontId="3" type="noConversion"/>
  </si>
  <si>
    <t>Chapter4 Test Paper 1</t>
    <phoneticPr fontId="3" type="noConversion"/>
  </si>
  <si>
    <t>不正常的</t>
  </si>
  <si>
    <t>abnormal</t>
    <phoneticPr fontId="3" type="noConversion"/>
  </si>
  <si>
    <t>学术的</t>
  </si>
  <si>
    <t>academic</t>
    <phoneticPr fontId="3" type="noConversion"/>
  </si>
  <si>
    <t>可接近的</t>
  </si>
  <si>
    <t>accessible</t>
    <phoneticPr fontId="3" type="noConversion"/>
  </si>
  <si>
    <t>负有责任的</t>
  </si>
  <si>
    <t>accountable</t>
    <phoneticPr fontId="3" type="noConversion"/>
  </si>
  <si>
    <t>正确无误的</t>
  </si>
  <si>
    <t>accurate</t>
    <phoneticPr fontId="3" type="noConversion"/>
  </si>
  <si>
    <t>额外的</t>
  </si>
  <si>
    <t>additional</t>
    <phoneticPr fontId="3" type="noConversion"/>
  </si>
  <si>
    <t>充足的，令人满意的</t>
  </si>
  <si>
    <t>adequate</t>
    <phoneticPr fontId="3" type="noConversion"/>
  </si>
  <si>
    <t>高级的，先进的</t>
  </si>
  <si>
    <t>advanced</t>
    <phoneticPr fontId="3" type="noConversion"/>
  </si>
  <si>
    <t>明智的</t>
  </si>
  <si>
    <t>advisable</t>
    <phoneticPr fontId="3" type="noConversion"/>
  </si>
  <si>
    <t>过敏的</t>
  </si>
  <si>
    <t>allergic</t>
    <phoneticPr fontId="3" type="noConversion"/>
  </si>
  <si>
    <t>可选择的</t>
  </si>
  <si>
    <t>alternative</t>
    <phoneticPr fontId="3" type="noConversion"/>
  </si>
  <si>
    <t>令人惊讶的</t>
  </si>
  <si>
    <t>amazing</t>
    <phoneticPr fontId="3" type="noConversion"/>
  </si>
  <si>
    <t>有歧义的</t>
  </si>
  <si>
    <t>ambiguous</t>
    <phoneticPr fontId="3" type="noConversion"/>
  </si>
  <si>
    <t>有野心的</t>
  </si>
  <si>
    <t>ambitious</t>
    <phoneticPr fontId="3" type="noConversion"/>
  </si>
  <si>
    <t>分析的</t>
  </si>
  <si>
    <t>analytical</t>
    <phoneticPr fontId="3" type="noConversion"/>
  </si>
  <si>
    <t>古代的</t>
  </si>
  <si>
    <t>ancient</t>
    <phoneticPr fontId="3" type="noConversion"/>
  </si>
  <si>
    <t>生气的</t>
  </si>
  <si>
    <t>angry</t>
    <phoneticPr fontId="3" type="noConversion"/>
  </si>
  <si>
    <t>应用的</t>
  </si>
  <si>
    <t>applied</t>
    <phoneticPr fontId="3" type="noConversion"/>
  </si>
  <si>
    <t>考古学的</t>
  </si>
  <si>
    <t>archaeological</t>
    <phoneticPr fontId="3" type="noConversion"/>
  </si>
  <si>
    <t>人工的</t>
  </si>
  <si>
    <t>artificial</t>
    <phoneticPr fontId="3" type="noConversion"/>
  </si>
  <si>
    <t>艺术的</t>
  </si>
  <si>
    <t>artistic</t>
    <phoneticPr fontId="3" type="noConversion"/>
  </si>
  <si>
    <t>上升的</t>
  </si>
  <si>
    <t>ascending</t>
    <phoneticPr fontId="3" type="noConversion"/>
  </si>
  <si>
    <t>大气的</t>
  </si>
  <si>
    <t>atmospheric</t>
    <phoneticPr fontId="3" type="noConversion"/>
  </si>
  <si>
    <t>注意的</t>
  </si>
  <si>
    <t>attentive</t>
    <phoneticPr fontId="3" type="noConversion"/>
  </si>
  <si>
    <t>声音的</t>
  </si>
  <si>
    <t>audio</t>
    <phoneticPr fontId="3" type="noConversion"/>
  </si>
  <si>
    <t>可获得的，有时间的</t>
  </si>
  <si>
    <t>available</t>
    <phoneticPr fontId="3" type="noConversion"/>
  </si>
  <si>
    <t>意识到的</t>
  </si>
  <si>
    <t>aware</t>
    <phoneticPr fontId="3" type="noConversion"/>
  </si>
  <si>
    <t>可怕的</t>
  </si>
  <si>
    <t>awful</t>
    <phoneticPr fontId="3" type="noConversion"/>
  </si>
  <si>
    <t>自动的</t>
  </si>
  <si>
    <t>auto</t>
    <phoneticPr fontId="3" type="noConversion"/>
  </si>
  <si>
    <t>光秃的</t>
  </si>
  <si>
    <t>bald</t>
    <phoneticPr fontId="3" type="noConversion"/>
  </si>
  <si>
    <t>贫瘠的</t>
  </si>
  <si>
    <t>barren</t>
    <phoneticPr fontId="3" type="noConversion"/>
  </si>
  <si>
    <t>基础的</t>
  </si>
  <si>
    <t>basic</t>
    <phoneticPr fontId="3" type="noConversion"/>
  </si>
  <si>
    <t>美丽的</t>
  </si>
  <si>
    <t>beautiful</t>
    <phoneticPr fontId="3" type="noConversion"/>
  </si>
  <si>
    <t>生物的</t>
  </si>
  <si>
    <t>biological</t>
    <phoneticPr fontId="3" type="noConversion"/>
  </si>
  <si>
    <t>盲的</t>
  </si>
  <si>
    <t>blind</t>
    <phoneticPr fontId="3" type="noConversion"/>
  </si>
  <si>
    <t>金发的</t>
  </si>
  <si>
    <t>blond</t>
    <phoneticPr fontId="3" type="noConversion"/>
  </si>
  <si>
    <t>英国的</t>
  </si>
  <si>
    <t>British</t>
    <phoneticPr fontId="3" type="noConversion"/>
  </si>
  <si>
    <t>广泛的</t>
  </si>
  <si>
    <t>broad</t>
    <phoneticPr fontId="3" type="noConversion"/>
  </si>
  <si>
    <t>埋藏的</t>
  </si>
  <si>
    <t>buried</t>
    <phoneticPr fontId="3" type="noConversion"/>
  </si>
  <si>
    <t>计算的</t>
  </si>
  <si>
    <t>calculating</t>
    <phoneticPr fontId="3" type="noConversion"/>
  </si>
  <si>
    <t>随便的</t>
  </si>
  <si>
    <t>casual</t>
    <phoneticPr fontId="3" type="noConversion"/>
  </si>
  <si>
    <t>中央的</t>
  </si>
  <si>
    <t>central</t>
    <phoneticPr fontId="3" type="noConversion"/>
  </si>
  <si>
    <t>挑战的</t>
  </si>
  <si>
    <t>challenging</t>
    <phoneticPr fontId="3" type="noConversion"/>
  </si>
  <si>
    <t>便宜些的</t>
  </si>
  <si>
    <t>cheaper</t>
    <phoneticPr fontId="3" type="noConversion"/>
  </si>
  <si>
    <t>高兴的</t>
  </si>
  <si>
    <t>cheerful</t>
    <phoneticPr fontId="3" type="noConversion"/>
  </si>
  <si>
    <t>儿童的</t>
  </si>
  <si>
    <t>children's</t>
    <phoneticPr fontId="3" type="noConversion"/>
  </si>
  <si>
    <t>古典的</t>
  </si>
  <si>
    <t>classical</t>
    <phoneticPr fontId="3" type="noConversion"/>
  </si>
  <si>
    <t>干净的</t>
  </si>
  <si>
    <t>clean</t>
    <phoneticPr fontId="3" type="noConversion"/>
  </si>
  <si>
    <t>最干净的</t>
  </si>
  <si>
    <t>cleanest</t>
    <phoneticPr fontId="3" type="noConversion"/>
  </si>
  <si>
    <t>清楚的</t>
  </si>
  <si>
    <t>clear</t>
    <phoneticPr fontId="3" type="noConversion"/>
  </si>
  <si>
    <t>聪明的</t>
  </si>
  <si>
    <t>clever</t>
    <phoneticPr fontId="3" type="noConversion"/>
  </si>
  <si>
    <t>海边的</t>
  </si>
  <si>
    <t>coastal</t>
    <phoneticPr fontId="3" type="noConversion"/>
  </si>
  <si>
    <t>舒适的</t>
  </si>
  <si>
    <t>comfortable</t>
    <phoneticPr fontId="3" type="noConversion"/>
  </si>
  <si>
    <t>common</t>
    <phoneticPr fontId="3" type="noConversion"/>
  </si>
  <si>
    <t>有常识的</t>
  </si>
  <si>
    <t>commonsense</t>
    <phoneticPr fontId="3" type="noConversion"/>
  </si>
  <si>
    <t>完全的</t>
  </si>
  <si>
    <t>complete</t>
    <phoneticPr fontId="3" type="noConversion"/>
  </si>
  <si>
    <t>完成的</t>
  </si>
  <si>
    <t>completed</t>
    <phoneticPr fontId="3" type="noConversion"/>
  </si>
  <si>
    <t>自信的</t>
  </si>
  <si>
    <t>confident</t>
    <phoneticPr fontId="3" type="noConversion"/>
  </si>
  <si>
    <t>保守的</t>
  </si>
  <si>
    <t>conservative</t>
    <phoneticPr fontId="3" type="noConversion"/>
  </si>
  <si>
    <t>方便的</t>
  </si>
  <si>
    <t>convenient</t>
    <phoneticPr fontId="3" type="noConversion"/>
  </si>
  <si>
    <t>合作的</t>
  </si>
  <si>
    <t>co-operative</t>
    <phoneticPr fontId="3" type="noConversion"/>
  </si>
  <si>
    <t>腐败的</t>
  </si>
  <si>
    <t>corrupt</t>
    <phoneticPr fontId="3" type="noConversion"/>
  </si>
  <si>
    <t>昂贵的</t>
  </si>
  <si>
    <t>costly</t>
    <phoneticPr fontId="3" type="noConversion"/>
  </si>
  <si>
    <t>奶油色的</t>
  </si>
  <si>
    <t>批评的</t>
  </si>
  <si>
    <t>critical</t>
    <phoneticPr fontId="3" type="noConversion"/>
  </si>
  <si>
    <t>决定性，至关重要的</t>
  </si>
  <si>
    <t>crucial</t>
    <phoneticPr fontId="3" type="noConversion"/>
  </si>
  <si>
    <t>文化的</t>
  </si>
  <si>
    <t>cultural</t>
    <phoneticPr fontId="3" type="noConversion"/>
  </si>
  <si>
    <t>卷发的</t>
  </si>
  <si>
    <t>curly</t>
    <phoneticPr fontId="3" type="noConversion"/>
  </si>
  <si>
    <t>目前的</t>
  </si>
  <si>
    <t>current</t>
    <phoneticPr fontId="3" type="noConversion"/>
  </si>
  <si>
    <t>每日的</t>
  </si>
  <si>
    <t>daily</t>
    <phoneticPr fontId="3" type="noConversion"/>
  </si>
  <si>
    <t>牛奶的</t>
  </si>
  <si>
    <t>dairy</t>
    <phoneticPr fontId="3" type="noConversion"/>
  </si>
  <si>
    <t>危险的</t>
  </si>
  <si>
    <t>dangerous</t>
    <phoneticPr fontId="3" type="noConversion"/>
  </si>
  <si>
    <t>黑暗的</t>
  </si>
  <si>
    <t>dark</t>
    <phoneticPr fontId="3" type="noConversion"/>
  </si>
  <si>
    <t>部门的</t>
  </si>
  <si>
    <t>departmental</t>
    <phoneticPr fontId="3" type="noConversion"/>
  </si>
  <si>
    <t>依赖的</t>
  </si>
  <si>
    <t>dependent</t>
    <phoneticPr fontId="3" type="noConversion"/>
  </si>
  <si>
    <t>细节的</t>
  </si>
  <si>
    <t>detailed</t>
    <phoneticPr fontId="3" type="noConversion"/>
  </si>
  <si>
    <t>不同的</t>
  </si>
  <si>
    <t>different</t>
    <phoneticPr fontId="3" type="noConversion"/>
  </si>
  <si>
    <t>直接的</t>
  </si>
  <si>
    <t>direct</t>
    <phoneticPr fontId="3" type="noConversion"/>
  </si>
  <si>
    <t>肢体有残疾的</t>
  </si>
  <si>
    <t>disabled</t>
    <phoneticPr fontId="3" type="noConversion"/>
  </si>
  <si>
    <t>远的</t>
  </si>
  <si>
    <t>distant</t>
    <phoneticPr fontId="3" type="noConversion"/>
  </si>
  <si>
    <t>明显的</t>
  </si>
  <si>
    <t>distinct</t>
    <phoneticPr fontId="3" type="noConversion"/>
  </si>
  <si>
    <t>国内的，家里的，内部的</t>
  </si>
  <si>
    <t>domestic</t>
    <phoneticPr fontId="3" type="noConversion"/>
  </si>
  <si>
    <t>最主要的</t>
  </si>
  <si>
    <t>dominant</t>
    <phoneticPr fontId="3" type="noConversion"/>
  </si>
  <si>
    <t>东方的，东部的</t>
  </si>
  <si>
    <t>eastern</t>
    <phoneticPr fontId="3" type="noConversion"/>
  </si>
  <si>
    <t>经济的</t>
  </si>
  <si>
    <t>economic</t>
    <phoneticPr fontId="3" type="noConversion"/>
  </si>
  <si>
    <t>教育的</t>
  </si>
  <si>
    <t>educational</t>
    <phoneticPr fontId="3" type="noConversion"/>
  </si>
  <si>
    <t>有效的</t>
  </si>
  <si>
    <t>effective</t>
    <phoneticPr fontId="3" type="noConversion"/>
  </si>
  <si>
    <t>有效率的</t>
  </si>
  <si>
    <t>efficient</t>
    <phoneticPr fontId="3" type="noConversion"/>
  </si>
  <si>
    <t>初级的</t>
  </si>
  <si>
    <t>elementary</t>
    <phoneticPr fontId="3" type="noConversion"/>
  </si>
  <si>
    <t>空的</t>
  </si>
  <si>
    <t>empty</t>
    <phoneticPr fontId="3" type="noConversion"/>
  </si>
  <si>
    <t>广泛的，大的</t>
  </si>
  <si>
    <t>enormous</t>
    <phoneticPr fontId="3" type="noConversion"/>
  </si>
  <si>
    <t>热情的</t>
  </si>
  <si>
    <t>enthusiastic</t>
    <phoneticPr fontId="3" type="noConversion"/>
  </si>
  <si>
    <t>环境的</t>
  </si>
  <si>
    <t>environmental</t>
    <phoneticPr fontId="3" type="noConversion"/>
  </si>
  <si>
    <t>基本的，重要的</t>
  </si>
  <si>
    <t>essential</t>
    <phoneticPr fontId="3" type="noConversion"/>
  </si>
  <si>
    <t>兴奋的</t>
  </si>
  <si>
    <t>excited</t>
    <phoneticPr fontId="3" type="noConversion"/>
  </si>
  <si>
    <t>令人兴奋的</t>
  </si>
  <si>
    <t>exciting</t>
    <phoneticPr fontId="3" type="noConversion"/>
  </si>
  <si>
    <t>存在的</t>
  </si>
  <si>
    <t>existent</t>
    <phoneticPr fontId="3" type="noConversion"/>
  </si>
  <si>
    <t>expensive</t>
    <phoneticPr fontId="3" type="noConversion"/>
  </si>
  <si>
    <t>有经验的</t>
  </si>
  <si>
    <t>experienced</t>
    <phoneticPr fontId="3" type="noConversion"/>
  </si>
  <si>
    <t>实验的</t>
  </si>
  <si>
    <t>experimental</t>
    <phoneticPr fontId="3" type="noConversion"/>
  </si>
  <si>
    <t>extensive</t>
    <phoneticPr fontId="3" type="noConversion"/>
  </si>
  <si>
    <t>extra</t>
    <phoneticPr fontId="3" type="noConversion"/>
  </si>
  <si>
    <t>美丽的，公平的</t>
  </si>
  <si>
    <t>fair</t>
    <phoneticPr fontId="3" type="noConversion"/>
  </si>
  <si>
    <t>假的，伪造的</t>
  </si>
  <si>
    <t>fake</t>
    <phoneticPr fontId="3" type="noConversion"/>
  </si>
  <si>
    <t xml:space="preserve">Chapter4 Test Paper 2	</t>
    <phoneticPr fontId="3" type="noConversion"/>
  </si>
  <si>
    <t>著名的</t>
  </si>
  <si>
    <t>famed</t>
    <phoneticPr fontId="3" type="noConversion"/>
  </si>
  <si>
    <t>熟悉的</t>
  </si>
  <si>
    <t>familiar</t>
    <phoneticPr fontId="3" type="noConversion"/>
  </si>
  <si>
    <t>famous</t>
    <phoneticPr fontId="3" type="noConversion"/>
  </si>
  <si>
    <t>奇怪的</t>
  </si>
  <si>
    <t>fancy</t>
    <phoneticPr fontId="3" type="noConversion"/>
  </si>
  <si>
    <t>流行的</t>
  </si>
  <si>
    <t>fashionable</t>
    <phoneticPr fontId="3" type="noConversion"/>
  </si>
  <si>
    <t>最喜爱的</t>
  </si>
  <si>
    <t>favourite</t>
    <phoneticPr fontId="3" type="noConversion"/>
  </si>
  <si>
    <t>最后的</t>
  </si>
  <si>
    <t>final</t>
    <phoneticPr fontId="3" type="noConversion"/>
  </si>
  <si>
    <t>金融的</t>
  </si>
  <si>
    <t>financial</t>
    <phoneticPr fontId="3" type="noConversion"/>
  </si>
  <si>
    <t>好的</t>
  </si>
  <si>
    <t>fine</t>
    <phoneticPr fontId="3" type="noConversion"/>
  </si>
  <si>
    <t>坚实的</t>
  </si>
  <si>
    <t>firm</t>
    <phoneticPr fontId="3" type="noConversion"/>
  </si>
  <si>
    <t>灵活的</t>
  </si>
  <si>
    <t>flexible</t>
    <phoneticPr fontId="3" type="noConversion"/>
  </si>
  <si>
    <t>国外的</t>
  </si>
  <si>
    <t>foreign</t>
    <phoneticPr fontId="3" type="noConversion"/>
  </si>
  <si>
    <t>正式的</t>
  </si>
  <si>
    <t>formal</t>
    <phoneticPr fontId="3" type="noConversion"/>
  </si>
  <si>
    <t>以前的</t>
  </si>
  <si>
    <t>former</t>
    <phoneticPr fontId="3" type="noConversion"/>
  </si>
  <si>
    <t>自由的</t>
  </si>
  <si>
    <t>free</t>
    <phoneticPr fontId="3" type="noConversion"/>
  </si>
  <si>
    <t>经常的</t>
  </si>
  <si>
    <t>frequent</t>
    <phoneticPr fontId="3" type="noConversion"/>
  </si>
  <si>
    <t>基本的</t>
  </si>
  <si>
    <t>fundamental</t>
    <phoneticPr fontId="3" type="noConversion"/>
  </si>
  <si>
    <t>进一步的</t>
  </si>
  <si>
    <t>further</t>
    <phoneticPr fontId="3" type="noConversion"/>
  </si>
  <si>
    <t>general</t>
    <phoneticPr fontId="3" type="noConversion"/>
  </si>
  <si>
    <t>遗传的</t>
  </si>
  <si>
    <t>genetic</t>
    <phoneticPr fontId="3" type="noConversion"/>
  </si>
  <si>
    <t>地理学的</t>
  </si>
  <si>
    <t>geographical</t>
    <phoneticPr fontId="3" type="noConversion"/>
  </si>
  <si>
    <t>全球的</t>
  </si>
  <si>
    <t>global</t>
    <phoneticPr fontId="3" type="noConversion"/>
  </si>
  <si>
    <t>handy</t>
    <phoneticPr fontId="3" type="noConversion"/>
  </si>
  <si>
    <t>有害的</t>
  </si>
  <si>
    <t>harmful</t>
    <phoneticPr fontId="3" type="noConversion"/>
  </si>
  <si>
    <t>冒险的</t>
  </si>
  <si>
    <t>hazardous</t>
    <phoneticPr fontId="3" type="noConversion"/>
  </si>
  <si>
    <t>健康的</t>
  </si>
  <si>
    <t>healthy</t>
    <phoneticPr fontId="3" type="noConversion"/>
  </si>
  <si>
    <t>更沉重的</t>
  </si>
  <si>
    <t>heavier</t>
    <phoneticPr fontId="3" type="noConversion"/>
  </si>
  <si>
    <t>重的</t>
  </si>
  <si>
    <t>heavy</t>
    <phoneticPr fontId="3" type="noConversion"/>
  </si>
  <si>
    <t>有用的</t>
  </si>
  <si>
    <t>helpful</t>
    <phoneticPr fontId="3" type="noConversion"/>
  </si>
  <si>
    <t>食草的</t>
  </si>
  <si>
    <t>herbivorous</t>
    <phoneticPr fontId="3" type="noConversion"/>
  </si>
  <si>
    <t>更高的</t>
  </si>
  <si>
    <t>higher</t>
    <phoneticPr fontId="3" type="noConversion"/>
  </si>
  <si>
    <t>高度训练的</t>
  </si>
  <si>
    <t>highly-trained</t>
    <phoneticPr fontId="3" type="noConversion"/>
  </si>
  <si>
    <t>历史的</t>
  </si>
  <si>
    <t>historical</t>
    <phoneticPr fontId="3" type="noConversion"/>
  </si>
  <si>
    <t>最少的</t>
  </si>
  <si>
    <t>least</t>
    <phoneticPr fontId="3" type="noConversion"/>
  </si>
  <si>
    <t>生病的</t>
  </si>
  <si>
    <t>ill</t>
    <phoneticPr fontId="3" type="noConversion"/>
  </si>
  <si>
    <t>非法的</t>
  </si>
  <si>
    <t>illegal</t>
    <phoneticPr fontId="3" type="noConversion"/>
  </si>
  <si>
    <t>免疫的</t>
  </si>
  <si>
    <t>immune</t>
    <phoneticPr fontId="3" type="noConversion"/>
  </si>
  <si>
    <t>重要的</t>
  </si>
  <si>
    <t>important</t>
    <phoneticPr fontId="3" type="noConversion"/>
  </si>
  <si>
    <t>不可能的</t>
  </si>
  <si>
    <t>impossible</t>
    <phoneticPr fontId="3" type="noConversion"/>
  </si>
  <si>
    <t>不准确的</t>
  </si>
  <si>
    <t>inaccurate</t>
    <phoneticPr fontId="3" type="noConversion"/>
  </si>
  <si>
    <t>不足的</t>
  </si>
  <si>
    <t>inadequate</t>
    <phoneticPr fontId="3" type="noConversion"/>
  </si>
  <si>
    <t>个人的</t>
  </si>
  <si>
    <t>individual</t>
    <phoneticPr fontId="3" type="noConversion"/>
  </si>
  <si>
    <t>工业的</t>
  </si>
  <si>
    <t>industrial</t>
    <phoneticPr fontId="3" type="noConversion"/>
  </si>
  <si>
    <t>通知的，有信息的</t>
  </si>
  <si>
    <t>informative</t>
    <phoneticPr fontId="3" type="noConversion"/>
  </si>
  <si>
    <t>initial</t>
    <phoneticPr fontId="3" type="noConversion"/>
  </si>
  <si>
    <t>鼓舞人心的</t>
  </si>
  <si>
    <t>inspiring</t>
    <phoneticPr fontId="3" type="noConversion"/>
  </si>
  <si>
    <t>完好无损的</t>
  </si>
  <si>
    <t>intact</t>
    <phoneticPr fontId="3" type="noConversion"/>
  </si>
  <si>
    <t>智力的</t>
  </si>
  <si>
    <t>intelligent</t>
    <phoneticPr fontId="3" type="noConversion"/>
  </si>
  <si>
    <t>强化的</t>
  </si>
  <si>
    <t>intensive</t>
    <phoneticPr fontId="3" type="noConversion"/>
  </si>
  <si>
    <t>有趣的</t>
  </si>
  <si>
    <t>interesting</t>
    <phoneticPr fontId="3" type="noConversion"/>
  </si>
  <si>
    <t>中级的</t>
  </si>
  <si>
    <t>intermediate</t>
    <phoneticPr fontId="3" type="noConversion"/>
  </si>
  <si>
    <t>内部的</t>
  </si>
  <si>
    <t>internal</t>
    <phoneticPr fontId="3" type="noConversion"/>
  </si>
  <si>
    <t>国际的</t>
  </si>
  <si>
    <t>international</t>
    <phoneticPr fontId="3" type="noConversion"/>
  </si>
  <si>
    <t>不规则的</t>
  </si>
  <si>
    <t>irregular</t>
    <phoneticPr fontId="3" type="noConversion"/>
  </si>
  <si>
    <t>易怒的</t>
  </si>
  <si>
    <t>irritable</t>
    <phoneticPr fontId="3" type="noConversion"/>
  </si>
  <si>
    <t>与世隔绝的</t>
  </si>
  <si>
    <t>isolated</t>
    <phoneticPr fontId="3" type="noConversion"/>
  </si>
  <si>
    <t>重点的</t>
  </si>
  <si>
    <t>key</t>
    <phoneticPr fontId="3" type="noConversion"/>
  </si>
  <si>
    <t>最新的</t>
  </si>
  <si>
    <t>latest</t>
    <phoneticPr fontId="3" type="noConversion"/>
  </si>
  <si>
    <t>合法的</t>
  </si>
  <si>
    <t>legal</t>
    <phoneticPr fontId="3" type="noConversion"/>
  </si>
  <si>
    <t>不知名的</t>
  </si>
  <si>
    <t>little-known</t>
    <phoneticPr fontId="3" type="noConversion"/>
  </si>
  <si>
    <t>忠诚的</t>
  </si>
  <si>
    <t>loyal</t>
    <phoneticPr fontId="3" type="noConversion"/>
  </si>
  <si>
    <t>魔术的</t>
  </si>
  <si>
    <t>magic</t>
    <phoneticPr fontId="3" type="noConversion"/>
  </si>
  <si>
    <t>难以想象的</t>
  </si>
  <si>
    <t>magical</t>
    <phoneticPr fontId="3" type="noConversion"/>
  </si>
  <si>
    <t>华丽的</t>
  </si>
  <si>
    <t>magnificent</t>
    <phoneticPr fontId="3" type="noConversion"/>
  </si>
  <si>
    <t>主要的</t>
  </si>
  <si>
    <t>major</t>
    <phoneticPr fontId="3" type="noConversion"/>
  </si>
  <si>
    <t>武术的</t>
  </si>
  <si>
    <t>martial</t>
    <phoneticPr fontId="3" type="noConversion"/>
  </si>
  <si>
    <t>成熟的</t>
  </si>
  <si>
    <t>mature</t>
    <phoneticPr fontId="3" type="noConversion"/>
  </si>
  <si>
    <t>医疗的</t>
  </si>
  <si>
    <t>medical</t>
    <phoneticPr fontId="3" type="noConversion"/>
  </si>
  <si>
    <t>精神的</t>
  </si>
  <si>
    <t>mental</t>
    <phoneticPr fontId="3" type="noConversion"/>
  </si>
  <si>
    <t>中间的</t>
  </si>
  <si>
    <t>mid</t>
    <phoneticPr fontId="3" type="noConversion"/>
  </si>
  <si>
    <t>迁移的</t>
  </si>
  <si>
    <t>migratory</t>
    <phoneticPr fontId="3" type="noConversion"/>
  </si>
  <si>
    <t>军人的</t>
  </si>
  <si>
    <t>military</t>
    <phoneticPr fontId="3" type="noConversion"/>
  </si>
  <si>
    <t>痛苦的</t>
  </si>
  <si>
    <t>miserable</t>
    <phoneticPr fontId="3" type="noConversion"/>
  </si>
  <si>
    <t>运动的</t>
  </si>
  <si>
    <t>mobile</t>
    <phoneticPr fontId="3" type="noConversion"/>
  </si>
  <si>
    <t>中度的</t>
  </si>
  <si>
    <t>moderate</t>
    <phoneticPr fontId="3" type="noConversion"/>
  </si>
  <si>
    <t>现代的</t>
  </si>
  <si>
    <t>modern</t>
    <phoneticPr fontId="3" type="noConversion"/>
  </si>
  <si>
    <t>音乐的</t>
  </si>
  <si>
    <t>自然的</t>
  </si>
  <si>
    <t>natural</t>
    <phoneticPr fontId="3" type="noConversion"/>
  </si>
  <si>
    <t>消极的</t>
  </si>
  <si>
    <t>negative</t>
    <phoneticPr fontId="3" type="noConversion"/>
  </si>
  <si>
    <t>附近的</t>
  </si>
  <si>
    <t>neighbouring</t>
    <phoneticPr fontId="3" type="noConversion"/>
  </si>
  <si>
    <t>紧张的</t>
  </si>
  <si>
    <t>nervous</t>
    <phoneticPr fontId="3" type="noConversion"/>
  </si>
  <si>
    <t>高尚的</t>
  </si>
  <si>
    <t>noble</t>
    <phoneticPr fontId="3" type="noConversion"/>
  </si>
  <si>
    <t>嘈杂的</t>
  </si>
  <si>
    <t>noisy</t>
    <phoneticPr fontId="3" type="noConversion"/>
  </si>
  <si>
    <t>不活跃的</t>
  </si>
  <si>
    <t>non-active</t>
    <phoneticPr fontId="3" type="noConversion"/>
  </si>
  <si>
    <t>正常的</t>
  </si>
  <si>
    <t>normal</t>
    <phoneticPr fontId="3" type="noConversion"/>
  </si>
  <si>
    <t>北方的</t>
  </si>
  <si>
    <t>northern</t>
    <phoneticPr fontId="3" type="noConversion"/>
  </si>
  <si>
    <t>客观的</t>
  </si>
  <si>
    <t>职业的</t>
  </si>
  <si>
    <t>occupational</t>
    <phoneticPr fontId="3" type="noConversion"/>
  </si>
  <si>
    <t>奥运会的</t>
  </si>
  <si>
    <t>Olympic</t>
    <phoneticPr fontId="3" type="noConversion"/>
  </si>
  <si>
    <t>光学的</t>
  </si>
  <si>
    <t>optic</t>
    <phoneticPr fontId="3" type="noConversion"/>
  </si>
  <si>
    <t>optional</t>
    <phoneticPr fontId="3" type="noConversion"/>
  </si>
  <si>
    <t>口语的</t>
  </si>
  <si>
    <t>oral</t>
    <phoneticPr fontId="3" type="noConversion"/>
  </si>
  <si>
    <t>有机的</t>
  </si>
  <si>
    <t>organic</t>
    <phoneticPr fontId="3" type="noConversion"/>
  </si>
  <si>
    <t>整个的</t>
  </si>
  <si>
    <t>overall</t>
    <phoneticPr fontId="3" type="noConversion"/>
  </si>
  <si>
    <t>头上的</t>
  </si>
  <si>
    <t>overhead</t>
    <phoneticPr fontId="3" type="noConversion"/>
  </si>
  <si>
    <t>海外的</t>
  </si>
  <si>
    <t>overseas</t>
    <phoneticPr fontId="3" type="noConversion"/>
  </si>
  <si>
    <t>父母的</t>
  </si>
  <si>
    <t>parental</t>
    <phoneticPr fontId="3" type="noConversion"/>
  </si>
  <si>
    <t>可支付的</t>
  </si>
  <si>
    <t>payable</t>
    <phoneticPr fontId="3" type="noConversion"/>
  </si>
  <si>
    <t>完美的</t>
  </si>
  <si>
    <t>perfect</t>
    <phoneticPr fontId="3" type="noConversion"/>
  </si>
  <si>
    <t>personal</t>
    <phoneticPr fontId="3" type="noConversion"/>
  </si>
  <si>
    <t>肉体的，身体的</t>
  </si>
  <si>
    <t>physical</t>
    <phoneticPr fontId="3" type="noConversion"/>
  </si>
  <si>
    <t>愉快的</t>
  </si>
  <si>
    <t>pleasant</t>
    <phoneticPr fontId="3" type="noConversion"/>
  </si>
  <si>
    <t>政治的</t>
  </si>
  <si>
    <t>political</t>
    <phoneticPr fontId="3" type="noConversion"/>
  </si>
  <si>
    <t>pop</t>
    <phoneticPr fontId="3" type="noConversion"/>
  </si>
  <si>
    <t>Chapter4 Test Paper 3</t>
    <phoneticPr fontId="3" type="noConversion"/>
  </si>
  <si>
    <t>时髦的</t>
  </si>
  <si>
    <t>popular</t>
    <phoneticPr fontId="3" type="noConversion"/>
  </si>
  <si>
    <t>积极的</t>
  </si>
  <si>
    <t>positive</t>
    <phoneticPr fontId="3" type="noConversion"/>
  </si>
  <si>
    <t>可能的</t>
  </si>
  <si>
    <t>possible</t>
    <phoneticPr fontId="3" type="noConversion"/>
  </si>
  <si>
    <t>潜在的</t>
  </si>
  <si>
    <t>potential</t>
    <phoneticPr fontId="3" type="noConversion"/>
  </si>
  <si>
    <t>实际的</t>
  </si>
  <si>
    <t>practical</t>
    <phoneticPr fontId="3" type="noConversion"/>
  </si>
  <si>
    <t>珍贵的</t>
  </si>
  <si>
    <t>precious</t>
    <phoneticPr fontId="3" type="noConversion"/>
  </si>
  <si>
    <t>可预言的</t>
  </si>
  <si>
    <t>predictable</t>
    <phoneticPr fontId="3" type="noConversion"/>
  </si>
  <si>
    <t>present</t>
    <phoneticPr fontId="3" type="noConversion"/>
  </si>
  <si>
    <t>原来的，以前的</t>
  </si>
  <si>
    <t>previous</t>
    <phoneticPr fontId="3" type="noConversion"/>
  </si>
  <si>
    <t>打印出来的</t>
  </si>
  <si>
    <t>printed</t>
    <phoneticPr fontId="3" type="noConversion"/>
  </si>
  <si>
    <t>私人的</t>
  </si>
  <si>
    <t>private</t>
    <phoneticPr fontId="3" type="noConversion"/>
  </si>
  <si>
    <t>专业的</t>
  </si>
  <si>
    <t>professional</t>
    <phoneticPr fontId="3" type="noConversion"/>
  </si>
  <si>
    <t>有前途的</t>
  </si>
  <si>
    <t>promising</t>
    <phoneticPr fontId="3" type="noConversion"/>
  </si>
  <si>
    <t>精神病的</t>
  </si>
  <si>
    <t>psychiatric</t>
    <phoneticPr fontId="3" type="noConversion"/>
  </si>
  <si>
    <t>心理的</t>
  </si>
  <si>
    <t>psychological</t>
    <phoneticPr fontId="3" type="noConversion"/>
  </si>
  <si>
    <t>公共的</t>
  </si>
  <si>
    <t>public</t>
    <phoneticPr fontId="3" type="noConversion"/>
  </si>
  <si>
    <t>纯洁的</t>
  </si>
  <si>
    <t>pure</t>
    <phoneticPr fontId="3" type="noConversion"/>
  </si>
  <si>
    <t>最纯净的</t>
  </si>
  <si>
    <t>purest</t>
    <phoneticPr fontId="3" type="noConversion"/>
  </si>
  <si>
    <t>女王的</t>
  </si>
  <si>
    <t>queens</t>
    <phoneticPr fontId="3" type="noConversion"/>
  </si>
  <si>
    <t>随机的</t>
  </si>
  <si>
    <t>random</t>
    <phoneticPr fontId="3" type="noConversion"/>
  </si>
  <si>
    <t>快速的</t>
  </si>
  <si>
    <t>rapid</t>
    <phoneticPr fontId="3" type="noConversion"/>
  </si>
  <si>
    <t>罕见的</t>
  </si>
  <si>
    <t>rare</t>
    <phoneticPr fontId="3" type="noConversion"/>
  </si>
  <si>
    <t>生的</t>
  </si>
  <si>
    <t>raw</t>
    <phoneticPr fontId="3" type="noConversion"/>
  </si>
  <si>
    <t>回收的</t>
  </si>
  <si>
    <t>recycled</t>
    <phoneticPr fontId="3" type="noConversion"/>
  </si>
  <si>
    <t>多余的</t>
  </si>
  <si>
    <t>redundant</t>
    <phoneticPr fontId="3" type="noConversion"/>
  </si>
  <si>
    <t>局域的</t>
  </si>
  <si>
    <t>regional</t>
    <phoneticPr fontId="3" type="noConversion"/>
  </si>
  <si>
    <t>定期的，规律的</t>
  </si>
  <si>
    <t>regular</t>
    <phoneticPr fontId="3" type="noConversion"/>
  </si>
  <si>
    <t>加强的</t>
  </si>
  <si>
    <t>reinforced</t>
    <phoneticPr fontId="3" type="noConversion"/>
  </si>
  <si>
    <t>相关的</t>
  </si>
  <si>
    <t>related</t>
    <phoneticPr fontId="3" type="noConversion"/>
  </si>
  <si>
    <t>relevant</t>
    <phoneticPr fontId="3" type="noConversion"/>
  </si>
  <si>
    <t>可信赖的，可靠的</t>
  </si>
  <si>
    <t>reliable</t>
    <phoneticPr fontId="3" type="noConversion"/>
  </si>
  <si>
    <t>remote</t>
    <phoneticPr fontId="3" type="noConversion"/>
  </si>
  <si>
    <t>抵抗的</t>
  </si>
  <si>
    <t>resistant</t>
    <phoneticPr fontId="3" type="noConversion"/>
  </si>
  <si>
    <t>相反的</t>
  </si>
  <si>
    <t>reverse</t>
    <phoneticPr fontId="3" type="noConversion"/>
  </si>
  <si>
    <t>rising</t>
    <phoneticPr fontId="3" type="noConversion"/>
  </si>
  <si>
    <t>皇家的</t>
  </si>
  <si>
    <t>royal</t>
    <phoneticPr fontId="3" type="noConversion"/>
  </si>
  <si>
    <t>乡下的</t>
  </si>
  <si>
    <t>rural</t>
    <phoneticPr fontId="3" type="noConversion"/>
  </si>
  <si>
    <t>被解雇的</t>
  </si>
  <si>
    <t>sacked</t>
    <phoneticPr fontId="3" type="noConversion"/>
  </si>
  <si>
    <t>安全的</t>
  </si>
  <si>
    <t>safe</t>
    <phoneticPr fontId="3" type="noConversion"/>
  </si>
  <si>
    <t>满意的</t>
  </si>
  <si>
    <t>satisfactory</t>
    <phoneticPr fontId="3" type="noConversion"/>
  </si>
  <si>
    <t>scarce</t>
    <phoneticPr fontId="3" type="noConversion"/>
  </si>
  <si>
    <t>科学的</t>
  </si>
  <si>
    <t>scientific</t>
    <phoneticPr fontId="3" type="noConversion"/>
  </si>
  <si>
    <t>季节的</t>
  </si>
  <si>
    <t>seasonal</t>
    <phoneticPr fontId="3" type="noConversion"/>
  </si>
  <si>
    <t>风干的</t>
  </si>
  <si>
    <t>seasoned</t>
    <phoneticPr fontId="3" type="noConversion"/>
  </si>
  <si>
    <t>第二的</t>
  </si>
  <si>
    <t>secondary</t>
    <phoneticPr fontId="3" type="noConversion"/>
  </si>
  <si>
    <t>二手的</t>
  </si>
  <si>
    <t>second-hand</t>
    <phoneticPr fontId="3" type="noConversion"/>
  </si>
  <si>
    <t>自给自足的</t>
  </si>
  <si>
    <t>self-funded</t>
    <phoneticPr fontId="3" type="noConversion"/>
  </si>
  <si>
    <t>self-sufficient</t>
    <phoneticPr fontId="3" type="noConversion"/>
  </si>
  <si>
    <t>高级的</t>
  </si>
  <si>
    <t>senior</t>
    <phoneticPr fontId="3" type="noConversion"/>
  </si>
  <si>
    <t>sensible</t>
    <phoneticPr fontId="3" type="noConversion"/>
  </si>
  <si>
    <t>连续的</t>
  </si>
  <si>
    <t>serial</t>
    <phoneticPr fontId="3" type="noConversion"/>
  </si>
  <si>
    <t>严肃的</t>
  </si>
  <si>
    <t>serious</t>
    <phoneticPr fontId="3" type="noConversion"/>
  </si>
  <si>
    <t>七个屏幕的</t>
  </si>
  <si>
    <t>seven-screen</t>
    <phoneticPr fontId="3" type="noConversion"/>
  </si>
  <si>
    <t>几个</t>
  </si>
  <si>
    <t>several</t>
    <phoneticPr fontId="3" type="noConversion"/>
  </si>
  <si>
    <t>共享的</t>
  </si>
  <si>
    <t>shared</t>
    <phoneticPr fontId="3" type="noConversion"/>
  </si>
  <si>
    <t>锋利的，紧急的</t>
  </si>
  <si>
    <t>sharp</t>
    <phoneticPr fontId="3" type="noConversion"/>
  </si>
  <si>
    <t>短的</t>
  </si>
  <si>
    <t>short</t>
    <phoneticPr fontId="3" type="noConversion"/>
  </si>
  <si>
    <t>sick</t>
    <phoneticPr fontId="3" type="noConversion"/>
  </si>
  <si>
    <t>安静的</t>
  </si>
  <si>
    <t>silent</t>
    <phoneticPr fontId="3" type="noConversion"/>
  </si>
  <si>
    <t>银的</t>
  </si>
  <si>
    <t>silver</t>
    <phoneticPr fontId="3" type="noConversion"/>
  </si>
  <si>
    <t>相似的</t>
  </si>
  <si>
    <t>similar</t>
    <phoneticPr fontId="3" type="noConversion"/>
  </si>
  <si>
    <t>简单的</t>
  </si>
  <si>
    <t>simple</t>
    <phoneticPr fontId="3" type="noConversion"/>
  </si>
  <si>
    <t>想睡的</t>
  </si>
  <si>
    <t>sleepy</t>
    <phoneticPr fontId="3" type="noConversion"/>
  </si>
  <si>
    <t>苗条的</t>
  </si>
  <si>
    <t>slim</t>
    <phoneticPr fontId="3" type="noConversion"/>
  </si>
  <si>
    <t>smart</t>
    <phoneticPr fontId="3" type="noConversion"/>
  </si>
  <si>
    <t>有臭味的</t>
  </si>
  <si>
    <t>smelly</t>
    <phoneticPr fontId="3" type="noConversion"/>
  </si>
  <si>
    <t>社会的</t>
  </si>
  <si>
    <t>social</t>
    <phoneticPr fontId="3" type="noConversion"/>
  </si>
  <si>
    <t>太阳的</t>
  </si>
  <si>
    <t>solar</t>
    <phoneticPr fontId="3" type="noConversion"/>
  </si>
  <si>
    <t>隔音的</t>
  </si>
  <si>
    <t>soundproof</t>
    <phoneticPr fontId="3" type="noConversion"/>
  </si>
  <si>
    <t>南方的</t>
  </si>
  <si>
    <t>southern</t>
    <phoneticPr fontId="3" type="noConversion"/>
  </si>
  <si>
    <t>宽敞的</t>
  </si>
  <si>
    <t>spacious</t>
    <phoneticPr fontId="3" type="noConversion"/>
  </si>
  <si>
    <t>spare</t>
    <phoneticPr fontId="3" type="noConversion"/>
  </si>
  <si>
    <t>特别的</t>
  </si>
  <si>
    <t>special</t>
    <phoneticPr fontId="3" type="noConversion"/>
  </si>
  <si>
    <t>特别的，专门的</t>
  </si>
  <si>
    <t>specialized</t>
    <phoneticPr fontId="3" type="noConversion"/>
  </si>
  <si>
    <t>种类，物种</t>
  </si>
  <si>
    <t>species</t>
    <phoneticPr fontId="3" type="noConversion"/>
  </si>
  <si>
    <t>specific</t>
    <phoneticPr fontId="3" type="noConversion"/>
  </si>
  <si>
    <t>螺旋的</t>
  </si>
  <si>
    <t>spiral</t>
    <phoneticPr fontId="3" type="noConversion"/>
  </si>
  <si>
    <t>稳定的</t>
  </si>
  <si>
    <t>stable</t>
    <phoneticPr fontId="3" type="noConversion"/>
  </si>
  <si>
    <t>steady</t>
    <phoneticPr fontId="3" type="noConversion"/>
  </si>
  <si>
    <t>结实的，强壮的</t>
  </si>
  <si>
    <t>stout</t>
    <phoneticPr fontId="3" type="noConversion"/>
  </si>
  <si>
    <t>strained</t>
    <phoneticPr fontId="3" type="noConversion"/>
  </si>
  <si>
    <t>压力的</t>
  </si>
  <si>
    <t>stressful</t>
    <phoneticPr fontId="3" type="noConversion"/>
  </si>
  <si>
    <t>伸展的</t>
  </si>
  <si>
    <t>stretching</t>
    <phoneticPr fontId="3" type="noConversion"/>
  </si>
  <si>
    <t>强壮的</t>
  </si>
  <si>
    <t>strong</t>
    <phoneticPr fontId="3" type="noConversion"/>
  </si>
  <si>
    <t>更强的</t>
  </si>
  <si>
    <t>stronger</t>
    <phoneticPr fontId="3" type="noConversion"/>
  </si>
  <si>
    <t>主观的</t>
  </si>
  <si>
    <t>subjective</t>
    <phoneticPr fontId="3" type="noConversion"/>
  </si>
  <si>
    <t>成功的</t>
  </si>
  <si>
    <t>successful</t>
    <phoneticPr fontId="3" type="noConversion"/>
  </si>
  <si>
    <t>充分的</t>
  </si>
  <si>
    <t>sufficient</t>
    <phoneticPr fontId="3" type="noConversion"/>
  </si>
  <si>
    <t>合适的</t>
  </si>
  <si>
    <t>suitable</t>
    <phoneticPr fontId="3" type="noConversion"/>
  </si>
  <si>
    <t>超级的</t>
  </si>
  <si>
    <t>super</t>
    <phoneticPr fontId="3" type="noConversion"/>
  </si>
  <si>
    <t>惊奇的</t>
  </si>
  <si>
    <t>surprised</t>
    <phoneticPr fontId="3" type="noConversion"/>
  </si>
  <si>
    <t>系统的</t>
  </si>
  <si>
    <t>systematic</t>
    <phoneticPr fontId="3" type="noConversion"/>
  </si>
  <si>
    <t>科技的</t>
  </si>
  <si>
    <t>technical</t>
    <phoneticPr fontId="3" type="noConversion"/>
  </si>
  <si>
    <t>理论的</t>
  </si>
  <si>
    <t>theoretical</t>
    <phoneticPr fontId="3" type="noConversion"/>
  </si>
  <si>
    <t>传统的</t>
  </si>
  <si>
    <t>traditional</t>
    <phoneticPr fontId="3" type="noConversion"/>
  </si>
  <si>
    <t>带来麻烦的</t>
  </si>
  <si>
    <t>troublesome</t>
    <phoneticPr fontId="3" type="noConversion"/>
  </si>
  <si>
    <t>典型的</t>
  </si>
  <si>
    <t>typical</t>
    <phoneticPr fontId="3" type="noConversion"/>
  </si>
  <si>
    <t>意见一致的</t>
  </si>
  <si>
    <t>unanimous</t>
    <phoneticPr fontId="3" type="noConversion"/>
  </si>
  <si>
    <t>不舒服的</t>
  </si>
  <si>
    <t>uncomfortable</t>
    <phoneticPr fontId="3" type="noConversion"/>
  </si>
  <si>
    <t>没有说服力的</t>
  </si>
  <si>
    <t>unconvincing</t>
    <phoneticPr fontId="3" type="noConversion"/>
  </si>
  <si>
    <t>地下的</t>
  </si>
  <si>
    <t>underground</t>
    <phoneticPr fontId="3" type="noConversion"/>
  </si>
  <si>
    <t>不公平的</t>
  </si>
  <si>
    <t>unfair</t>
    <phoneticPr fontId="3" type="noConversion"/>
  </si>
  <si>
    <t>不健康的</t>
  </si>
  <si>
    <t>unhealthy</t>
    <phoneticPr fontId="3" type="noConversion"/>
  </si>
  <si>
    <t>独特的</t>
  </si>
  <si>
    <t>unique</t>
    <phoneticPr fontId="3" type="noConversion"/>
  </si>
  <si>
    <t>联合的</t>
  </si>
  <si>
    <t>united</t>
    <phoneticPr fontId="3" type="noConversion"/>
  </si>
  <si>
    <t>不可依赖的</t>
  </si>
  <si>
    <t>unreliable</t>
    <phoneticPr fontId="3" type="noConversion"/>
  </si>
  <si>
    <t>不合群的</t>
  </si>
  <si>
    <t>unsocial</t>
    <phoneticPr fontId="3" type="noConversion"/>
  </si>
  <si>
    <t>非同寻常的</t>
  </si>
  <si>
    <t>unusual</t>
    <phoneticPr fontId="3" type="noConversion"/>
  </si>
  <si>
    <t>useful</t>
    <phoneticPr fontId="3" type="noConversion"/>
  </si>
  <si>
    <t>没用的</t>
  </si>
  <si>
    <t>useless</t>
    <phoneticPr fontId="3" type="noConversion"/>
  </si>
  <si>
    <t>平常的，普通的</t>
  </si>
  <si>
    <t>usual</t>
    <phoneticPr fontId="3" type="noConversion"/>
  </si>
  <si>
    <t>各种的</t>
  </si>
  <si>
    <t>various</t>
    <phoneticPr fontId="3" type="noConversion"/>
  </si>
  <si>
    <t>猛烈的，暴力的</t>
  </si>
  <si>
    <t>violent</t>
    <phoneticPr fontId="3" type="noConversion"/>
  </si>
  <si>
    <t>虚拟的</t>
  </si>
  <si>
    <t>virtual</t>
    <phoneticPr fontId="3" type="noConversion"/>
  </si>
  <si>
    <t>可见的</t>
  </si>
  <si>
    <t>visible</t>
    <phoneticPr fontId="3" type="noConversion"/>
  </si>
  <si>
    <t>视觉的</t>
  </si>
  <si>
    <t>visual</t>
    <phoneticPr fontId="3" type="noConversion"/>
  </si>
  <si>
    <t>温暖的</t>
  </si>
  <si>
    <t>warm</t>
    <phoneticPr fontId="3" type="noConversion"/>
  </si>
  <si>
    <t>可洗的</t>
  </si>
  <si>
    <t>washable</t>
    <phoneticPr fontId="3" type="noConversion"/>
  </si>
  <si>
    <t>有钱的</t>
  </si>
  <si>
    <t>wealthy</t>
    <phoneticPr fontId="3" type="noConversion"/>
  </si>
  <si>
    <t>每周的</t>
  </si>
  <si>
    <t>weekly</t>
    <phoneticPr fontId="3" type="noConversion"/>
  </si>
  <si>
    <t>西方的</t>
  </si>
  <si>
    <t>western</t>
    <phoneticPr fontId="3" type="noConversion"/>
  </si>
  <si>
    <t>whole</t>
    <phoneticPr fontId="3" type="noConversion"/>
  </si>
  <si>
    <t>wide</t>
    <phoneticPr fontId="3" type="noConversion"/>
  </si>
  <si>
    <t>wise</t>
    <phoneticPr fontId="3" type="noConversion"/>
  </si>
  <si>
    <t>值得的</t>
  </si>
  <si>
    <t>worthwhile</t>
    <phoneticPr fontId="3" type="noConversion"/>
  </si>
  <si>
    <t>值得做某事</t>
  </si>
  <si>
    <t>worthy</t>
    <phoneticPr fontId="3" type="noConversion"/>
  </si>
  <si>
    <t xml:space="preserve">Chapter4 Test Paper 4 adverb		</t>
    <phoneticPr fontId="3" type="noConversion"/>
  </si>
  <si>
    <t>几乎，差不多</t>
  </si>
  <si>
    <t>almost</t>
    <phoneticPr fontId="3" type="noConversion"/>
  </si>
  <si>
    <t>目前地</t>
  </si>
  <si>
    <t>currently</t>
    <phoneticPr fontId="3" type="noConversion"/>
  </si>
  <si>
    <t>直接地</t>
  </si>
  <si>
    <t>directly</t>
    <phoneticPr fontId="3" type="noConversion"/>
  </si>
  <si>
    <t>有效地</t>
  </si>
  <si>
    <t>effectively</t>
    <phoneticPr fontId="3" type="noConversion"/>
  </si>
  <si>
    <t>有效率地</t>
  </si>
  <si>
    <t>efficiently</t>
    <phoneticPr fontId="3" type="noConversion"/>
  </si>
  <si>
    <t>最初地</t>
  </si>
  <si>
    <t>originally</t>
    <phoneticPr fontId="3" type="noConversion"/>
  </si>
  <si>
    <t>身体地</t>
  </si>
  <si>
    <t>physically</t>
    <phoneticPr fontId="3" type="noConversion"/>
  </si>
  <si>
    <t>专业地</t>
  </si>
  <si>
    <t>professionally</t>
    <phoneticPr fontId="3" type="noConversion"/>
  </si>
  <si>
    <t>快速地</t>
  </si>
  <si>
    <t>rapidly</t>
    <phoneticPr fontId="3" type="noConversion"/>
  </si>
  <si>
    <t>定期地</t>
  </si>
  <si>
    <t>regularly</t>
    <phoneticPr fontId="3" type="noConversion"/>
  </si>
  <si>
    <t>不足地</t>
  </si>
  <si>
    <t>scarcely</t>
    <phoneticPr fontId="3" type="noConversion"/>
  </si>
  <si>
    <t>几乎</t>
  </si>
  <si>
    <t>virtually</t>
    <phoneticPr fontId="3" type="noConversion"/>
  </si>
  <si>
    <t>Chapter5 Test Paper 1</t>
    <phoneticPr fontId="3" type="noConversion"/>
  </si>
  <si>
    <t>很多种</t>
    <phoneticPr fontId="3" type="noConversion"/>
  </si>
  <si>
    <t>a great variety of</t>
    <phoneticPr fontId="3" type="noConversion"/>
  </si>
  <si>
    <t>均衡饮食</t>
    <phoneticPr fontId="3" type="noConversion"/>
  </si>
  <si>
    <t>a balanced diet</t>
    <phoneticPr fontId="3" type="noConversion"/>
  </si>
  <si>
    <t>几个</t>
    <phoneticPr fontId="3" type="noConversion"/>
  </si>
  <si>
    <t>a couple of</t>
    <phoneticPr fontId="3" type="noConversion"/>
  </si>
  <si>
    <t>一副眼镜</t>
    <phoneticPr fontId="3" type="noConversion"/>
  </si>
  <si>
    <t>a pair of glasses</t>
    <phoneticPr fontId="3" type="noConversion"/>
  </si>
  <si>
    <t>一段时间</t>
    <phoneticPr fontId="3" type="noConversion"/>
  </si>
  <si>
    <t>a period of time</t>
    <phoneticPr fontId="3" type="noConversion"/>
  </si>
  <si>
    <t>A+</t>
    <phoneticPr fontId="3" type="noConversion"/>
  </si>
  <si>
    <t>a plus</t>
    <phoneticPr fontId="3" type="noConversion"/>
  </si>
  <si>
    <t>一系列的</t>
    <phoneticPr fontId="3" type="noConversion"/>
  </si>
  <si>
    <t>a series of</t>
    <phoneticPr fontId="3" type="noConversion"/>
  </si>
  <si>
    <t>一个严肃的人</t>
    <phoneticPr fontId="3" type="noConversion"/>
  </si>
  <si>
    <t>a serious person</t>
    <phoneticPr fontId="3" type="noConversion"/>
  </si>
  <si>
    <t>急转弯</t>
    <phoneticPr fontId="3" type="noConversion"/>
  </si>
  <si>
    <t>a sharp turn</t>
    <phoneticPr fontId="3" type="noConversion"/>
  </si>
  <si>
    <t>能力</t>
    <phoneticPr fontId="3" type="noConversion"/>
  </si>
  <si>
    <t>abilities</t>
    <phoneticPr fontId="3" type="noConversion"/>
  </si>
  <si>
    <t>学术英语</t>
    <phoneticPr fontId="3" type="noConversion"/>
  </si>
  <si>
    <t>academic English</t>
    <phoneticPr fontId="3" type="noConversion"/>
  </si>
  <si>
    <t>学术问题，学习问题</t>
    <phoneticPr fontId="3" type="noConversion"/>
  </si>
  <si>
    <t>academic problems</t>
    <phoneticPr fontId="3" type="noConversion"/>
  </si>
  <si>
    <t>学术体系</t>
    <phoneticPr fontId="3" type="noConversion"/>
  </si>
  <si>
    <t>academic system</t>
    <phoneticPr fontId="3" type="noConversion"/>
  </si>
  <si>
    <t>教学人员</t>
    <phoneticPr fontId="3" type="noConversion"/>
  </si>
  <si>
    <t>academic teaching staff</t>
    <phoneticPr fontId="3" type="noConversion"/>
  </si>
  <si>
    <t>住宿费</t>
    <phoneticPr fontId="3" type="noConversion"/>
  </si>
  <si>
    <t>accommodation expense</t>
    <phoneticPr fontId="3" type="noConversion"/>
  </si>
  <si>
    <t>accommodation fee</t>
    <phoneticPr fontId="3" type="noConversion"/>
  </si>
  <si>
    <t>住宿单</t>
    <phoneticPr fontId="3" type="noConversion"/>
  </si>
  <si>
    <t>accommodation form</t>
    <phoneticPr fontId="3" type="noConversion"/>
  </si>
  <si>
    <t>会计</t>
    <phoneticPr fontId="3" type="noConversion"/>
  </si>
  <si>
    <t>accountants</t>
    <phoneticPr fontId="3" type="noConversion"/>
  </si>
  <si>
    <t>行动计划</t>
    <phoneticPr fontId="3" type="noConversion"/>
  </si>
  <si>
    <t>action plan</t>
    <phoneticPr fontId="3" type="noConversion"/>
  </si>
  <si>
    <t>增加恐惧心理</t>
    <phoneticPr fontId="3" type="noConversion"/>
  </si>
  <si>
    <t>added panic</t>
    <phoneticPr fontId="3" type="noConversion"/>
  </si>
  <si>
    <t>借书卡</t>
    <phoneticPr fontId="3" type="noConversion"/>
  </si>
  <si>
    <t>admission card</t>
    <phoneticPr fontId="3" type="noConversion"/>
  </si>
  <si>
    <t>招生办公室</t>
    <phoneticPr fontId="3" type="noConversion"/>
  </si>
  <si>
    <t>admission office</t>
    <phoneticPr fontId="3" type="noConversion"/>
  </si>
  <si>
    <t>成年学生</t>
    <phoneticPr fontId="3" type="noConversion"/>
  </si>
  <si>
    <t>adult students</t>
    <phoneticPr fontId="3" type="noConversion"/>
  </si>
  <si>
    <t>高级课程</t>
    <phoneticPr fontId="3" type="noConversion"/>
  </si>
  <si>
    <t>advanced course</t>
    <phoneticPr fontId="3" type="noConversion"/>
  </si>
  <si>
    <t>高阶</t>
    <phoneticPr fontId="3" type="noConversion"/>
  </si>
  <si>
    <t>advanced degree</t>
    <phoneticPr fontId="3" type="noConversion"/>
  </si>
  <si>
    <t>高级英语研究</t>
    <phoneticPr fontId="3" type="noConversion"/>
  </si>
  <si>
    <t>Advanced English Studies</t>
    <phoneticPr fontId="3" type="noConversion"/>
  </si>
  <si>
    <t>土地改革</t>
    <phoneticPr fontId="3" type="noConversion"/>
  </si>
  <si>
    <t>agrarian reform</t>
    <phoneticPr fontId="3" type="noConversion"/>
  </si>
  <si>
    <t>预先</t>
    <phoneticPr fontId="3" type="noConversion"/>
  </si>
  <si>
    <t>ahead of time</t>
    <phoneticPr fontId="3" type="noConversion"/>
  </si>
  <si>
    <t>授课目标</t>
    <phoneticPr fontId="3" type="noConversion"/>
  </si>
  <si>
    <t>aim of lecture</t>
    <phoneticPr fontId="3" type="noConversion"/>
  </si>
  <si>
    <t>目标</t>
    <phoneticPr fontId="3" type="noConversion"/>
  </si>
  <si>
    <t>aims</t>
    <phoneticPr fontId="3" type="noConversion"/>
  </si>
  <si>
    <t>空气污染</t>
    <phoneticPr fontId="3" type="noConversion"/>
  </si>
  <si>
    <t>air pollution</t>
    <phoneticPr fontId="3" type="noConversion"/>
  </si>
  <si>
    <t>空气泵</t>
    <phoneticPr fontId="3" type="noConversion"/>
  </si>
  <si>
    <t>air pump</t>
    <phoneticPr fontId="3" type="noConversion"/>
  </si>
  <si>
    <t>机场巴士</t>
    <phoneticPr fontId="3" type="noConversion"/>
  </si>
  <si>
    <t>air shuttle bus</t>
    <phoneticPr fontId="3" type="noConversion"/>
  </si>
  <si>
    <t>空调</t>
    <phoneticPr fontId="3" type="noConversion"/>
  </si>
  <si>
    <t>air conditioner</t>
    <phoneticPr fontId="3" type="noConversion"/>
  </si>
  <si>
    <t>警报系统</t>
    <phoneticPr fontId="3" type="noConversion"/>
  </si>
  <si>
    <t>alarm system</t>
    <phoneticPr fontId="3" type="noConversion"/>
  </si>
  <si>
    <t>可替代能源</t>
    <phoneticPr fontId="3" type="noConversion"/>
  </si>
  <si>
    <t>alternative energies</t>
    <phoneticPr fontId="3" type="noConversion"/>
  </si>
  <si>
    <t>自动取款机</t>
    <phoneticPr fontId="3" type="noConversion"/>
  </si>
  <si>
    <t>ATM</t>
    <phoneticPr fontId="3" type="noConversion"/>
  </si>
  <si>
    <t>游乐场</t>
    <phoneticPr fontId="3" type="noConversion"/>
  </si>
  <si>
    <t>amusement park</t>
    <phoneticPr fontId="3" type="noConversion"/>
  </si>
  <si>
    <t>有教育意义的影片</t>
    <phoneticPr fontId="3" type="noConversion"/>
  </si>
  <si>
    <t>an educational film</t>
    <phoneticPr fontId="3" type="noConversion"/>
  </si>
  <si>
    <t>分析数据</t>
    <phoneticPr fontId="3" type="noConversion"/>
  </si>
  <si>
    <t>analyse data</t>
    <phoneticPr fontId="3" type="noConversion"/>
  </si>
  <si>
    <t>古庙</t>
    <phoneticPr fontId="3" type="noConversion"/>
  </si>
  <si>
    <t>ancient temple</t>
    <phoneticPr fontId="3" type="noConversion"/>
  </si>
  <si>
    <t>年会费</t>
    <phoneticPr fontId="3" type="noConversion"/>
  </si>
  <si>
    <t>annual membership fee</t>
    <phoneticPr fontId="3" type="noConversion"/>
  </si>
  <si>
    <t>回答问题</t>
    <phoneticPr fontId="3" type="noConversion"/>
  </si>
  <si>
    <t>answer questions</t>
    <phoneticPr fontId="3" type="noConversion"/>
  </si>
  <si>
    <t>蚂蚁的智商</t>
    <phoneticPr fontId="3" type="noConversion"/>
  </si>
  <si>
    <t>ant intelligence</t>
    <phoneticPr fontId="3" type="noConversion"/>
  </si>
  <si>
    <t>抗生素和酸</t>
    <phoneticPr fontId="3" type="noConversion"/>
  </si>
  <si>
    <t>antibiotics and acid</t>
    <phoneticPr fontId="3" type="noConversion"/>
  </si>
  <si>
    <t>外貌</t>
    <phoneticPr fontId="3" type="noConversion"/>
  </si>
  <si>
    <t>appearances</t>
    <phoneticPr fontId="3" type="noConversion"/>
  </si>
  <si>
    <t>苹果汁</t>
    <phoneticPr fontId="3" type="noConversion"/>
  </si>
  <si>
    <t>apple juice</t>
    <phoneticPr fontId="3" type="noConversion"/>
  </si>
  <si>
    <t>申请表</t>
    <phoneticPr fontId="3" type="noConversion"/>
  </si>
  <si>
    <t>application form</t>
    <phoneticPr fontId="3" type="noConversion"/>
  </si>
  <si>
    <t>应用数学</t>
    <phoneticPr fontId="3" type="noConversion"/>
  </si>
  <si>
    <t>applied mathematics</t>
    <phoneticPr fontId="3" type="noConversion"/>
  </si>
  <si>
    <t>应用科学</t>
    <phoneticPr fontId="3" type="noConversion"/>
  </si>
  <si>
    <t>applied science</t>
    <phoneticPr fontId="3" type="noConversion"/>
  </si>
  <si>
    <t>建筑风格</t>
    <phoneticPr fontId="3" type="noConversion"/>
  </si>
  <si>
    <t>architecture style</t>
    <phoneticPr fontId="3" type="noConversion"/>
  </si>
  <si>
    <t>北冰洋</t>
    <phoneticPr fontId="3" type="noConversion"/>
  </si>
  <si>
    <t>Arctic Ocean</t>
    <phoneticPr fontId="3" type="noConversion"/>
  </si>
  <si>
    <t>大西洋</t>
    <phoneticPr fontId="3" type="noConversion"/>
  </si>
  <si>
    <t>Atlantic Ocean</t>
    <phoneticPr fontId="3" type="noConversion"/>
  </si>
  <si>
    <t>不要接触岩石</t>
    <phoneticPr fontId="3" type="noConversion"/>
  </si>
  <si>
    <t>avoid touching rocks</t>
    <phoneticPr fontId="3" type="noConversion"/>
  </si>
  <si>
    <t>胳膊上带的臂章</t>
    <phoneticPr fontId="3" type="noConversion"/>
  </si>
  <si>
    <t>arm badge</t>
    <phoneticPr fontId="3" type="noConversion"/>
  </si>
  <si>
    <t>到达目的地</t>
    <phoneticPr fontId="3" type="noConversion"/>
  </si>
  <si>
    <t>arrive at one's destination</t>
    <phoneticPr fontId="3" type="noConversion"/>
  </si>
  <si>
    <t>画廊艺术馆</t>
    <phoneticPr fontId="3" type="noConversion"/>
  </si>
  <si>
    <t>art gallery</t>
    <phoneticPr fontId="3" type="noConversion"/>
  </si>
  <si>
    <t>艺术博物馆</t>
    <phoneticPr fontId="3" type="noConversion"/>
  </si>
  <si>
    <t>art museum</t>
    <phoneticPr fontId="3" type="noConversion"/>
  </si>
  <si>
    <t>期刊文章</t>
    <phoneticPr fontId="3" type="noConversion"/>
  </si>
  <si>
    <t>articles from journal</t>
    <phoneticPr fontId="3" type="noConversion"/>
  </si>
  <si>
    <t>艺术的方法</t>
    <phoneticPr fontId="3" type="noConversion"/>
  </si>
  <si>
    <t>artistic approach</t>
    <phoneticPr fontId="3" type="noConversion"/>
  </si>
  <si>
    <t>亚洲研究</t>
    <phoneticPr fontId="3" type="noConversion"/>
  </si>
  <si>
    <t>Asian studies</t>
    <phoneticPr fontId="3" type="noConversion"/>
  </si>
  <si>
    <t>评估方法</t>
    <phoneticPr fontId="3" type="noConversion"/>
  </si>
  <si>
    <t>assessment methods</t>
    <phoneticPr fontId="3" type="noConversion"/>
  </si>
  <si>
    <t>对病人的评估</t>
    <phoneticPr fontId="3" type="noConversion"/>
  </si>
  <si>
    <t>assessment of patients</t>
    <phoneticPr fontId="3" type="noConversion"/>
  </si>
  <si>
    <t>助教，副教授</t>
    <phoneticPr fontId="3" type="noConversion"/>
  </si>
  <si>
    <t>assistant professor</t>
    <phoneticPr fontId="3" type="noConversion"/>
  </si>
  <si>
    <t>与..关联</t>
    <phoneticPr fontId="3" type="noConversion"/>
  </si>
  <si>
    <t>associate with</t>
    <phoneticPr fontId="3" type="noConversion"/>
  </si>
  <si>
    <t>承担责任</t>
    <phoneticPr fontId="3" type="noConversion"/>
  </si>
  <si>
    <t>assume the responsibility</t>
    <phoneticPr fontId="3" type="noConversion"/>
  </si>
  <si>
    <t>至少</t>
    <phoneticPr fontId="3" type="noConversion"/>
  </si>
  <si>
    <t>at least</t>
    <phoneticPr fontId="3" type="noConversion"/>
  </si>
  <si>
    <t>不足之处</t>
    <phoneticPr fontId="3" type="noConversion"/>
  </si>
  <si>
    <t>area for improvement</t>
    <phoneticPr fontId="3" type="noConversion"/>
  </si>
  <si>
    <t>奖励</t>
    <phoneticPr fontId="3" type="noConversion"/>
  </si>
  <si>
    <t>awards</t>
    <phoneticPr fontId="3" type="noConversion"/>
  </si>
  <si>
    <t>大气污染</t>
    <phoneticPr fontId="3" type="noConversion"/>
  </si>
  <si>
    <t>atmospheric pollution</t>
    <phoneticPr fontId="3" type="noConversion"/>
  </si>
  <si>
    <t>全球气候变暖</t>
    <phoneticPr fontId="3" type="noConversion"/>
  </si>
  <si>
    <t>atmospheric warming</t>
    <phoneticPr fontId="3" type="noConversion"/>
  </si>
  <si>
    <t>澳元</t>
    <phoneticPr fontId="3" type="noConversion"/>
  </si>
  <si>
    <t>Australian dollars</t>
    <phoneticPr fontId="3" type="noConversion"/>
  </si>
  <si>
    <t>平均能力</t>
    <phoneticPr fontId="3" type="noConversion"/>
  </si>
  <si>
    <t>average ability</t>
    <phoneticPr fontId="3" type="noConversion"/>
  </si>
  <si>
    <t>砖</t>
    <phoneticPr fontId="3" type="noConversion"/>
  </si>
  <si>
    <t>bricks</t>
    <phoneticPr fontId="3" type="noConversion"/>
  </si>
  <si>
    <t>碗</t>
    <phoneticPr fontId="3" type="noConversion"/>
  </si>
  <si>
    <t>bowls</t>
    <phoneticPr fontId="3" type="noConversion"/>
  </si>
  <si>
    <t>学士学位</t>
    <phoneticPr fontId="3" type="noConversion"/>
  </si>
  <si>
    <t>Bachelor's degree</t>
    <phoneticPr fontId="3" type="noConversion"/>
  </si>
  <si>
    <t>视力不好</t>
    <phoneticPr fontId="3" type="noConversion"/>
  </si>
  <si>
    <t>bad eyesight</t>
    <phoneticPr fontId="3" type="noConversion"/>
  </si>
  <si>
    <t>管理不善</t>
    <phoneticPr fontId="3" type="noConversion"/>
  </si>
  <si>
    <t>bad management</t>
    <phoneticPr fontId="3" type="noConversion"/>
  </si>
  <si>
    <t>烤热的地球</t>
    <phoneticPr fontId="3" type="noConversion"/>
  </si>
  <si>
    <t>Baked earth</t>
    <phoneticPr fontId="3" type="noConversion"/>
  </si>
  <si>
    <t>银行对账单</t>
    <phoneticPr fontId="3" type="noConversion"/>
  </si>
  <si>
    <t>bank statement</t>
    <phoneticPr fontId="3" type="noConversion"/>
  </si>
  <si>
    <t>银行转账</t>
    <phoneticPr fontId="3" type="noConversion"/>
  </si>
  <si>
    <t>bank transfer</t>
    <phoneticPr fontId="3" type="noConversion"/>
  </si>
  <si>
    <t>银行中心</t>
    <phoneticPr fontId="3" type="noConversion"/>
  </si>
  <si>
    <t>banking center</t>
    <phoneticPr fontId="3" type="noConversion"/>
  </si>
  <si>
    <t>柱状图</t>
    <phoneticPr fontId="3" type="noConversion"/>
  </si>
  <si>
    <t>bar chart</t>
    <phoneticPr fontId="3" type="noConversion"/>
  </si>
  <si>
    <t>条形码</t>
    <phoneticPr fontId="3" type="noConversion"/>
  </si>
  <si>
    <t>bar code</t>
    <phoneticPr fontId="3" type="noConversion"/>
  </si>
  <si>
    <t>烧烤架</t>
    <phoneticPr fontId="3" type="noConversion"/>
  </si>
  <si>
    <t>barbecue set</t>
    <phoneticPr fontId="3" type="noConversion"/>
  </si>
  <si>
    <t>荒地</t>
    <phoneticPr fontId="3" type="noConversion"/>
  </si>
  <si>
    <t>barren land</t>
    <phoneticPr fontId="3" type="noConversion"/>
  </si>
  <si>
    <t>废弃矿</t>
    <phoneticPr fontId="3" type="noConversion"/>
  </si>
  <si>
    <t>barren mine</t>
    <phoneticPr fontId="3" type="noConversion"/>
  </si>
  <si>
    <t>基础课</t>
    <phoneticPr fontId="3" type="noConversion"/>
  </si>
  <si>
    <t>basic course</t>
    <phoneticPr fontId="3" type="noConversion"/>
  </si>
  <si>
    <t>基本规则</t>
    <phoneticPr fontId="3" type="noConversion"/>
  </si>
  <si>
    <t>basic rule</t>
    <phoneticPr fontId="3" type="noConversion"/>
  </si>
  <si>
    <t>对…过敏</t>
    <phoneticPr fontId="3" type="noConversion"/>
  </si>
  <si>
    <t>be allergic to something</t>
    <phoneticPr fontId="3" type="noConversion"/>
  </si>
  <si>
    <t>生气</t>
    <phoneticPr fontId="3" type="noConversion"/>
  </si>
  <si>
    <t>be out of temper</t>
    <phoneticPr fontId="3" type="noConversion"/>
  </si>
  <si>
    <t>床单</t>
    <phoneticPr fontId="3" type="noConversion"/>
  </si>
  <si>
    <t>bed linen</t>
    <phoneticPr fontId="3" type="noConversion"/>
  </si>
  <si>
    <t>易于</t>
    <phoneticPr fontId="3" type="noConversion"/>
  </si>
  <si>
    <t>be prone to</t>
    <phoneticPr fontId="3" type="noConversion"/>
  </si>
  <si>
    <t>入门课程</t>
    <phoneticPr fontId="3" type="noConversion"/>
  </si>
  <si>
    <t>beginning course</t>
    <phoneticPr fontId="3" type="noConversion"/>
  </si>
  <si>
    <t>带子，腰带</t>
    <phoneticPr fontId="3" type="noConversion"/>
  </si>
  <si>
    <t>belts</t>
    <phoneticPr fontId="3" type="noConversion"/>
  </si>
  <si>
    <t>生物钟</t>
    <phoneticPr fontId="3" type="noConversion"/>
  </si>
  <si>
    <t>biological clock</t>
    <phoneticPr fontId="3" type="noConversion"/>
  </si>
  <si>
    <t>黑雨衣</t>
    <phoneticPr fontId="3" type="noConversion"/>
  </si>
  <si>
    <t>black raincoat</t>
    <phoneticPr fontId="3" type="noConversion"/>
  </si>
  <si>
    <t>黑色短裙</t>
    <phoneticPr fontId="3" type="noConversion"/>
  </si>
  <si>
    <t>black skirt</t>
    <phoneticPr fontId="3" type="noConversion"/>
  </si>
  <si>
    <t>红茶</t>
    <phoneticPr fontId="3" type="noConversion"/>
  </si>
  <si>
    <t>black tea</t>
    <phoneticPr fontId="3" type="noConversion"/>
  </si>
  <si>
    <t>黑色裤子</t>
    <phoneticPr fontId="3" type="noConversion"/>
  </si>
  <si>
    <t>black trousers</t>
    <phoneticPr fontId="3" type="noConversion"/>
  </si>
  <si>
    <t>黑天鹅绒</t>
    <phoneticPr fontId="3" type="noConversion"/>
  </si>
  <si>
    <t>black velvet</t>
    <phoneticPr fontId="3" type="noConversion"/>
  </si>
  <si>
    <t>街区</t>
    <phoneticPr fontId="3" type="noConversion"/>
  </si>
  <si>
    <t>blocks</t>
    <phoneticPr fontId="3" type="noConversion"/>
  </si>
  <si>
    <t>血流</t>
    <phoneticPr fontId="3" type="noConversion"/>
  </si>
  <si>
    <t>blood flow</t>
    <phoneticPr fontId="3" type="noConversion"/>
  </si>
  <si>
    <t>血液样本</t>
    <phoneticPr fontId="3" type="noConversion"/>
  </si>
  <si>
    <t>blood sample</t>
    <phoneticPr fontId="3" type="noConversion"/>
  </si>
  <si>
    <t>百花盛开</t>
    <phoneticPr fontId="3" type="noConversion"/>
  </si>
  <si>
    <t>bloom of flowers</t>
    <phoneticPr fontId="3" type="noConversion"/>
  </si>
  <si>
    <t>蓝色毛衣</t>
    <phoneticPr fontId="3" type="noConversion"/>
  </si>
  <si>
    <t>blue sweater</t>
    <phoneticPr fontId="3" type="noConversion"/>
  </si>
  <si>
    <t>住宿学校</t>
    <phoneticPr fontId="3" type="noConversion"/>
  </si>
  <si>
    <t>boarding school</t>
    <phoneticPr fontId="3" type="noConversion"/>
  </si>
  <si>
    <t>划船之旅</t>
    <phoneticPr fontId="3" type="noConversion"/>
  </si>
  <si>
    <t>boat trip</t>
    <phoneticPr fontId="3" type="noConversion"/>
  </si>
  <si>
    <t>预订</t>
    <phoneticPr fontId="3" type="noConversion"/>
  </si>
  <si>
    <t>book in advance</t>
    <phoneticPr fontId="3" type="noConversion"/>
  </si>
  <si>
    <t>预订书</t>
    <phoneticPr fontId="3" type="noConversion"/>
  </si>
  <si>
    <t>book reservation</t>
    <phoneticPr fontId="3" type="noConversion"/>
  </si>
  <si>
    <t>骨头</t>
    <phoneticPr fontId="3" type="noConversion"/>
  </si>
  <si>
    <t>bones</t>
    <phoneticPr fontId="3" type="noConversion"/>
  </si>
  <si>
    <t>保龄球道</t>
    <phoneticPr fontId="3" type="noConversion"/>
  </si>
  <si>
    <t>bowling alley</t>
    <phoneticPr fontId="3" type="noConversion"/>
  </si>
  <si>
    <t>植物园</t>
    <phoneticPr fontId="3" type="noConversion"/>
  </si>
  <si>
    <t>botanical garden</t>
    <phoneticPr fontId="3" type="noConversion"/>
  </si>
  <si>
    <t>Chapter5 Test Paper 2</t>
    <phoneticPr fontId="3" type="noConversion"/>
  </si>
  <si>
    <t>布告栏</t>
    <phoneticPr fontId="3" type="noConversion"/>
  </si>
  <si>
    <t>bulletin board</t>
    <phoneticPr fontId="3" type="noConversion"/>
  </si>
  <si>
    <t>令人屏住呼吸的</t>
    <phoneticPr fontId="3" type="noConversion"/>
  </si>
  <si>
    <t>breathtaking</t>
    <phoneticPr fontId="3" type="noConversion"/>
  </si>
  <si>
    <t>养鱼</t>
    <phoneticPr fontId="3" type="noConversion"/>
  </si>
  <si>
    <t>breed fish</t>
    <phoneticPr fontId="3" type="noConversion"/>
  </si>
  <si>
    <t>英国使馆文化处</t>
    <phoneticPr fontId="3" type="noConversion"/>
  </si>
  <si>
    <t>British council</t>
    <phoneticPr fontId="3" type="noConversion"/>
  </si>
  <si>
    <t>大英图书馆</t>
    <phoneticPr fontId="3" type="noConversion"/>
  </si>
  <si>
    <t>British library</t>
    <phoneticPr fontId="3" type="noConversion"/>
  </si>
  <si>
    <t>大英博物馆</t>
    <phoneticPr fontId="3" type="noConversion"/>
  </si>
  <si>
    <t>British museum</t>
    <phoneticPr fontId="3" type="noConversion"/>
  </si>
  <si>
    <t>拓宽视野</t>
    <phoneticPr fontId="3" type="noConversion"/>
  </si>
  <si>
    <t>broaden one's horizon</t>
    <phoneticPr fontId="3" type="noConversion"/>
  </si>
  <si>
    <t>broaden one's view</t>
    <phoneticPr fontId="3" type="noConversion"/>
  </si>
  <si>
    <t>姐夫妹夫</t>
    <phoneticPr fontId="3" type="noConversion"/>
  </si>
  <si>
    <t>brother in law</t>
    <phoneticPr fontId="3" type="noConversion"/>
  </si>
  <si>
    <t>公共汽车</t>
    <phoneticPr fontId="3" type="noConversion"/>
  </si>
  <si>
    <t>buses</t>
    <phoneticPr fontId="3" type="noConversion"/>
  </si>
  <si>
    <t>月票</t>
    <phoneticPr fontId="3" type="noConversion"/>
  </si>
  <si>
    <t>bus pass</t>
    <phoneticPr fontId="3" type="noConversion"/>
  </si>
  <si>
    <t>乘车路线</t>
    <phoneticPr fontId="3" type="noConversion"/>
  </si>
  <si>
    <t>bus routes</t>
    <phoneticPr fontId="3" type="noConversion"/>
  </si>
  <si>
    <t>名片</t>
    <phoneticPr fontId="3" type="noConversion"/>
  </si>
  <si>
    <t>business card</t>
    <phoneticPr fontId="3" type="noConversion"/>
  </si>
  <si>
    <t>商务舱</t>
    <phoneticPr fontId="3" type="noConversion"/>
  </si>
  <si>
    <t>business class</t>
    <phoneticPr fontId="3" type="noConversion"/>
  </si>
  <si>
    <t>企业文化</t>
    <phoneticPr fontId="3" type="noConversion"/>
  </si>
  <si>
    <t>business culture</t>
    <phoneticPr fontId="3" type="noConversion"/>
  </si>
  <si>
    <t>商业道德</t>
    <phoneticPr fontId="3" type="noConversion"/>
  </si>
  <si>
    <t>business ethics</t>
    <phoneticPr fontId="3" type="noConversion"/>
  </si>
  <si>
    <t>商务系</t>
    <phoneticPr fontId="3" type="noConversion"/>
  </si>
  <si>
    <t>business faculty</t>
    <phoneticPr fontId="3" type="noConversion"/>
  </si>
  <si>
    <t>商业研究</t>
    <phoneticPr fontId="3" type="noConversion"/>
  </si>
  <si>
    <t>business studies</t>
    <phoneticPr fontId="3" type="noConversion"/>
  </si>
  <si>
    <t>出差</t>
    <phoneticPr fontId="3" type="noConversion"/>
  </si>
  <si>
    <t>business trip</t>
    <phoneticPr fontId="3" type="noConversion"/>
  </si>
  <si>
    <t>笼子</t>
    <phoneticPr fontId="3" type="noConversion"/>
  </si>
  <si>
    <t>cages</t>
    <phoneticPr fontId="3" type="noConversion"/>
  </si>
  <si>
    <t>小屋钥匙</t>
    <phoneticPr fontId="3" type="noConversion"/>
  </si>
  <si>
    <t>cabin keys</t>
    <phoneticPr fontId="3" type="noConversion"/>
  </si>
  <si>
    <t>缆车</t>
    <phoneticPr fontId="3" type="noConversion"/>
  </si>
  <si>
    <t>cable car</t>
    <phoneticPr fontId="3" type="noConversion"/>
  </si>
  <si>
    <t>借书台</t>
    <phoneticPr fontId="3" type="noConversion"/>
  </si>
  <si>
    <t>circulation desk</t>
    <phoneticPr fontId="3" type="noConversion"/>
  </si>
  <si>
    <t>借书证</t>
    <phoneticPr fontId="3" type="noConversion"/>
  </si>
  <si>
    <t>call slip</t>
    <phoneticPr fontId="3" type="noConversion"/>
  </si>
  <si>
    <t>校园犯罪</t>
    <phoneticPr fontId="3" type="noConversion"/>
  </si>
  <si>
    <t>campus crime</t>
    <phoneticPr fontId="3" type="noConversion"/>
  </si>
  <si>
    <t>蜡烛</t>
    <phoneticPr fontId="3" type="noConversion"/>
  </si>
  <si>
    <t>candles</t>
    <phoneticPr fontId="3" type="noConversion"/>
  </si>
  <si>
    <t>不能在最后期限内完成</t>
    <phoneticPr fontId="3" type="noConversion"/>
  </si>
  <si>
    <t>cannot meet the deadline</t>
    <phoneticPr fontId="3" type="noConversion"/>
  </si>
  <si>
    <t>汽车模型</t>
    <phoneticPr fontId="3" type="noConversion"/>
  </si>
  <si>
    <t>car model</t>
    <phoneticPr fontId="3" type="noConversion"/>
  </si>
  <si>
    <t>租车</t>
    <phoneticPr fontId="3" type="noConversion"/>
  </si>
  <si>
    <t>car rental</t>
    <phoneticPr fontId="3" type="noConversion"/>
  </si>
  <si>
    <t>汽车轮胎</t>
    <phoneticPr fontId="3" type="noConversion"/>
  </si>
  <si>
    <t>car tires</t>
    <phoneticPr fontId="3" type="noConversion"/>
  </si>
  <si>
    <t>卡片索引</t>
    <phoneticPr fontId="3" type="noConversion"/>
  </si>
  <si>
    <t>card index</t>
    <phoneticPr fontId="3" type="noConversion"/>
  </si>
  <si>
    <t>卡片目录</t>
    <phoneticPr fontId="3" type="noConversion"/>
  </si>
  <si>
    <t>card catalogue</t>
    <phoneticPr fontId="3" type="noConversion"/>
  </si>
  <si>
    <t>注解卡片</t>
    <phoneticPr fontId="3" type="noConversion"/>
  </si>
  <si>
    <t>comment card</t>
    <phoneticPr fontId="3" type="noConversion"/>
  </si>
  <si>
    <t>二氧化碳</t>
    <phoneticPr fontId="3" type="noConversion"/>
  </si>
  <si>
    <t>carbon dioxide</t>
    <phoneticPr fontId="3" type="noConversion"/>
  </si>
  <si>
    <t>雕刻东西</t>
    <phoneticPr fontId="3" type="noConversion"/>
  </si>
  <si>
    <t>carve</t>
    <phoneticPr fontId="3" type="noConversion"/>
  </si>
  <si>
    <t>木头雕刻</t>
    <phoneticPr fontId="3" type="noConversion"/>
  </si>
  <si>
    <t>carving wood</t>
    <phoneticPr fontId="3" type="noConversion"/>
  </si>
  <si>
    <t>个案分析</t>
    <phoneticPr fontId="3" type="noConversion"/>
  </si>
  <si>
    <t>case study</t>
    <phoneticPr fontId="3" type="noConversion"/>
  </si>
  <si>
    <t>case studies</t>
    <phoneticPr fontId="3" type="noConversion"/>
  </si>
  <si>
    <t>设施选择</t>
    <phoneticPr fontId="3" type="noConversion"/>
  </si>
  <si>
    <t>choices for facilities</t>
    <phoneticPr fontId="3" type="noConversion"/>
  </si>
  <si>
    <t>卡带式录音器</t>
    <phoneticPr fontId="3" type="noConversion"/>
  </si>
  <si>
    <t>cassette recorders</t>
    <phoneticPr fontId="3" type="noConversion"/>
  </si>
  <si>
    <t>CD播放器</t>
    <phoneticPr fontId="3" type="noConversion"/>
  </si>
  <si>
    <t>CD player</t>
    <phoneticPr fontId="3" type="noConversion"/>
  </si>
  <si>
    <t>光驱</t>
    <phoneticPr fontId="3" type="noConversion"/>
  </si>
  <si>
    <t>CD-ROM</t>
    <phoneticPr fontId="3" type="noConversion"/>
  </si>
  <si>
    <t>休闲服</t>
    <phoneticPr fontId="3" type="noConversion"/>
  </si>
  <si>
    <t>casual clothes</t>
    <phoneticPr fontId="3" type="noConversion"/>
  </si>
  <si>
    <t>casual wear</t>
    <phoneticPr fontId="3" type="noConversion"/>
  </si>
  <si>
    <t>收费</t>
    <phoneticPr fontId="3" type="noConversion"/>
  </si>
  <si>
    <t>charges</t>
    <phoneticPr fontId="3" type="noConversion"/>
  </si>
  <si>
    <t>迎合</t>
    <phoneticPr fontId="3" type="noConversion"/>
  </si>
  <si>
    <t>cater to</t>
    <phoneticPr fontId="3" type="noConversion"/>
  </si>
  <si>
    <t>餐饮设施</t>
    <phoneticPr fontId="3" type="noConversion"/>
  </si>
  <si>
    <t>catering facilities</t>
    <phoneticPr fontId="3" type="noConversion"/>
  </si>
  <si>
    <t>餐饮部员工</t>
    <phoneticPr fontId="3" type="noConversion"/>
  </si>
  <si>
    <t>catering staff</t>
    <phoneticPr fontId="3" type="noConversion"/>
  </si>
  <si>
    <t>中央大厅</t>
    <phoneticPr fontId="3" type="noConversion"/>
  </si>
  <si>
    <t>center hall</t>
    <phoneticPr fontId="3" type="noConversion"/>
  </si>
  <si>
    <t>中心经理</t>
    <phoneticPr fontId="3" type="noConversion"/>
  </si>
  <si>
    <t>center manager</t>
    <phoneticPr fontId="3" type="noConversion"/>
  </si>
  <si>
    <t>中央取暖</t>
    <phoneticPr fontId="3" type="noConversion"/>
  </si>
  <si>
    <t>central heating</t>
    <phoneticPr fontId="3" type="noConversion"/>
  </si>
  <si>
    <t>中央大街</t>
    <phoneticPr fontId="3" type="noConversion"/>
  </si>
  <si>
    <t>Central Avenue</t>
    <phoneticPr fontId="3" type="noConversion"/>
  </si>
  <si>
    <t>中央公园</t>
    <phoneticPr fontId="3" type="noConversion"/>
  </si>
  <si>
    <t>Central Park</t>
    <phoneticPr fontId="3" type="noConversion"/>
  </si>
  <si>
    <t>中央火车站</t>
    <phoneticPr fontId="3" type="noConversion"/>
  </si>
  <si>
    <t>Central Station</t>
    <phoneticPr fontId="3" type="noConversion"/>
  </si>
  <si>
    <t>儿童护理证书</t>
    <phoneticPr fontId="3" type="noConversion"/>
  </si>
  <si>
    <t>certificate of childcare</t>
    <phoneticPr fontId="3" type="noConversion"/>
  </si>
  <si>
    <t>慈善机构</t>
    <phoneticPr fontId="3" type="noConversion"/>
  </si>
  <si>
    <t>charitable organization</t>
    <phoneticPr fontId="3" type="noConversion"/>
  </si>
  <si>
    <t>慈善医院</t>
    <phoneticPr fontId="3" type="noConversion"/>
  </si>
  <si>
    <t>charity hospital</t>
    <phoneticPr fontId="3" type="noConversion"/>
  </si>
  <si>
    <t>办理登机</t>
    <phoneticPr fontId="3" type="noConversion"/>
  </si>
  <si>
    <t>check in</t>
    <phoneticPr fontId="3" type="noConversion"/>
  </si>
  <si>
    <t>结账</t>
    <phoneticPr fontId="3" type="noConversion"/>
  </si>
  <si>
    <t>check out</t>
    <phoneticPr fontId="3" type="noConversion"/>
  </si>
  <si>
    <t>核对清单</t>
    <phoneticPr fontId="3" type="noConversion"/>
  </si>
  <si>
    <t>胸部发炎</t>
    <phoneticPr fontId="3" type="noConversion"/>
  </si>
  <si>
    <t>chest infection</t>
    <phoneticPr fontId="3" type="noConversion"/>
  </si>
  <si>
    <t>化学实验室</t>
    <phoneticPr fontId="3" type="noConversion"/>
  </si>
  <si>
    <t>chemistry lab</t>
    <phoneticPr fontId="3" type="noConversion"/>
  </si>
  <si>
    <t>教堂路</t>
    <phoneticPr fontId="3" type="noConversion"/>
  </si>
  <si>
    <t>Church Road</t>
    <phoneticPr fontId="3" type="noConversion"/>
  </si>
  <si>
    <t>支票本</t>
    <phoneticPr fontId="3" type="noConversion"/>
  </si>
  <si>
    <t>chequebook</t>
    <phoneticPr fontId="3" type="noConversion"/>
  </si>
  <si>
    <t>支票卡</t>
    <phoneticPr fontId="3" type="noConversion"/>
  </si>
  <si>
    <t>cheque card</t>
    <phoneticPr fontId="3" type="noConversion"/>
  </si>
  <si>
    <t>注意</t>
    <phoneticPr fontId="3" type="noConversion"/>
  </si>
  <si>
    <t>concentrate on</t>
    <phoneticPr fontId="3" type="noConversion"/>
  </si>
  <si>
    <t>马戏团的表演</t>
    <phoneticPr fontId="3" type="noConversion"/>
  </si>
  <si>
    <t>circus performance</t>
    <phoneticPr fontId="3" type="noConversion"/>
  </si>
  <si>
    <t>儿童节</t>
    <phoneticPr fontId="3" type="noConversion"/>
  </si>
  <si>
    <t>Children's Day</t>
    <phoneticPr fontId="3" type="noConversion"/>
  </si>
  <si>
    <t>奶酪生产</t>
    <phoneticPr fontId="3" type="noConversion"/>
  </si>
  <si>
    <t>cheese production</t>
    <phoneticPr fontId="3" type="noConversion"/>
  </si>
  <si>
    <t>城市扩张</t>
    <phoneticPr fontId="3" type="noConversion"/>
  </si>
  <si>
    <t>city's expansion</t>
    <phoneticPr fontId="3" type="noConversion"/>
  </si>
  <si>
    <t>城市委员会</t>
    <phoneticPr fontId="3" type="noConversion"/>
  </si>
  <si>
    <t>city council</t>
    <phoneticPr fontId="3" type="noConversion"/>
  </si>
  <si>
    <t>城市俯视图</t>
    <phoneticPr fontId="3" type="noConversion"/>
  </si>
  <si>
    <t>city overhead view</t>
    <phoneticPr fontId="3" type="noConversion"/>
  </si>
  <si>
    <t>通勤者</t>
    <phoneticPr fontId="3" type="noConversion"/>
  </si>
  <si>
    <t>commuters</t>
    <phoneticPr fontId="3" type="noConversion"/>
  </si>
  <si>
    <t>班级代表</t>
    <phoneticPr fontId="3" type="noConversion"/>
  </si>
  <si>
    <t>class representative</t>
    <phoneticPr fontId="3" type="noConversion"/>
  </si>
  <si>
    <t>征服者</t>
    <phoneticPr fontId="3" type="noConversion"/>
  </si>
  <si>
    <t>conquerors</t>
    <phoneticPr fontId="3" type="noConversion"/>
  </si>
  <si>
    <t>清洁设备</t>
    <phoneticPr fontId="3" type="noConversion"/>
  </si>
  <si>
    <t>cleaning equipment</t>
    <phoneticPr fontId="3" type="noConversion"/>
  </si>
  <si>
    <t>清洁材料</t>
    <phoneticPr fontId="3" type="noConversion"/>
  </si>
  <si>
    <t>cleaning materials</t>
    <phoneticPr fontId="3" type="noConversion"/>
  </si>
  <si>
    <t>清晰论证</t>
    <phoneticPr fontId="3" type="noConversion"/>
  </si>
  <si>
    <t>clear argument</t>
    <phoneticPr fontId="3" type="noConversion"/>
  </si>
  <si>
    <t>同学</t>
    <phoneticPr fontId="3" type="noConversion"/>
  </si>
  <si>
    <t>classmates</t>
    <phoneticPr fontId="3" type="noConversion"/>
  </si>
  <si>
    <t>质地粗糙</t>
    <phoneticPr fontId="3" type="noConversion"/>
  </si>
  <si>
    <t>coarse texture</t>
    <phoneticPr fontId="3" type="noConversion"/>
  </si>
  <si>
    <t>舒服的衣服</t>
    <phoneticPr fontId="3" type="noConversion"/>
  </si>
  <si>
    <t>comfortable clothes</t>
    <phoneticPr fontId="3" type="noConversion"/>
  </si>
  <si>
    <t>同事</t>
    <phoneticPr fontId="3" type="noConversion"/>
  </si>
  <si>
    <t>colleagues</t>
    <phoneticPr fontId="3" type="noConversion"/>
  </si>
  <si>
    <t>报时表</t>
    <phoneticPr fontId="3" type="noConversion"/>
  </si>
  <si>
    <t>clock watch</t>
    <phoneticPr fontId="3" type="noConversion"/>
  </si>
  <si>
    <t>闭架书库</t>
    <phoneticPr fontId="3" type="noConversion"/>
  </si>
  <si>
    <t>closed shelves</t>
    <phoneticPr fontId="3" type="noConversion"/>
  </si>
  <si>
    <t>闭卷考试</t>
    <phoneticPr fontId="3" type="noConversion"/>
  </si>
  <si>
    <t>close-book exam</t>
    <phoneticPr fontId="3" type="noConversion"/>
  </si>
  <si>
    <t>closed reserve</t>
    <phoneticPr fontId="3" type="noConversion"/>
  </si>
  <si>
    <t>闭路电视</t>
    <phoneticPr fontId="3" type="noConversion"/>
  </si>
  <si>
    <t>closed-circuit TV</t>
    <phoneticPr fontId="3" type="noConversion"/>
  </si>
  <si>
    <t>咖啡店</t>
    <phoneticPr fontId="3" type="noConversion"/>
  </si>
  <si>
    <t>coffee shop</t>
    <phoneticPr fontId="3" type="noConversion"/>
  </si>
  <si>
    <t>喝咖啡的休息时间</t>
    <phoneticPr fontId="3" type="noConversion"/>
  </si>
  <si>
    <t>coffee break</t>
    <phoneticPr fontId="3" type="noConversion"/>
  </si>
  <si>
    <t>咖啡机</t>
    <phoneticPr fontId="3" type="noConversion"/>
  </si>
  <si>
    <t>coffee machine</t>
    <phoneticPr fontId="3" type="noConversion"/>
  </si>
  <si>
    <t>储存罐</t>
    <phoneticPr fontId="3" type="noConversion"/>
  </si>
  <si>
    <t>collection tank</t>
    <phoneticPr fontId="3" type="noConversion"/>
  </si>
  <si>
    <t>收藏</t>
    <phoneticPr fontId="3" type="noConversion"/>
  </si>
  <si>
    <t>collections</t>
    <phoneticPr fontId="3" type="noConversion"/>
  </si>
  <si>
    <t>大学特写</t>
    <phoneticPr fontId="3" type="noConversion"/>
  </si>
  <si>
    <t>college close-up</t>
    <phoneticPr fontId="3" type="noConversion"/>
  </si>
  <si>
    <t>普通住宅</t>
    <phoneticPr fontId="3" type="noConversion"/>
  </si>
  <si>
    <t>common residence</t>
    <phoneticPr fontId="3" type="noConversion"/>
  </si>
  <si>
    <t>师生公用的休息室</t>
    <phoneticPr fontId="3" type="noConversion"/>
  </si>
  <si>
    <t>common room</t>
    <phoneticPr fontId="3" type="noConversion"/>
  </si>
  <si>
    <t>常识</t>
    <phoneticPr fontId="3" type="noConversion"/>
  </si>
  <si>
    <t>common sense</t>
    <phoneticPr fontId="3" type="noConversion"/>
  </si>
  <si>
    <t>交流技巧</t>
    <phoneticPr fontId="3" type="noConversion"/>
  </si>
  <si>
    <t>communication skills</t>
    <phoneticPr fontId="3" type="noConversion"/>
  </si>
  <si>
    <t>交际策略</t>
    <phoneticPr fontId="3" type="noConversion"/>
  </si>
  <si>
    <t>communication strategies</t>
    <phoneticPr fontId="3" type="noConversion"/>
  </si>
  <si>
    <t>通信技术</t>
    <phoneticPr fontId="3" type="noConversion"/>
  </si>
  <si>
    <t>communication technology</t>
    <phoneticPr fontId="3" type="noConversion"/>
  </si>
  <si>
    <t>会议报告</t>
    <phoneticPr fontId="3" type="noConversion"/>
  </si>
  <si>
    <t>conference reports</t>
    <phoneticPr fontId="3" type="noConversion"/>
  </si>
  <si>
    <t>联系人清单</t>
    <phoneticPr fontId="3" type="noConversion"/>
  </si>
  <si>
    <t>contact list</t>
    <phoneticPr fontId="3" type="noConversion"/>
  </si>
  <si>
    <t>公司行动</t>
    <phoneticPr fontId="3" type="noConversion"/>
  </si>
  <si>
    <t>company actions</t>
    <phoneticPr fontId="3" type="noConversion"/>
  </si>
  <si>
    <t>必修课</t>
    <phoneticPr fontId="3" type="noConversion"/>
  </si>
  <si>
    <t>compulsory course</t>
    <phoneticPr fontId="3" type="noConversion"/>
  </si>
  <si>
    <t>电脑模型</t>
    <phoneticPr fontId="3" type="noConversion"/>
  </si>
  <si>
    <t>computer model</t>
    <phoneticPr fontId="3" type="noConversion"/>
  </si>
  <si>
    <t>电脑程序员</t>
    <phoneticPr fontId="3" type="noConversion"/>
  </si>
  <si>
    <t>computer programmer</t>
    <phoneticPr fontId="3" type="noConversion"/>
  </si>
  <si>
    <t>电脑声卡</t>
    <phoneticPr fontId="3" type="noConversion"/>
  </si>
  <si>
    <t>computer sound card</t>
    <phoneticPr fontId="3" type="noConversion"/>
  </si>
  <si>
    <t>计算机系统</t>
    <phoneticPr fontId="3" type="noConversion"/>
  </si>
  <si>
    <t>computer system</t>
    <phoneticPr fontId="3" type="noConversion"/>
  </si>
  <si>
    <t>转机</t>
    <phoneticPr fontId="3" type="noConversion"/>
  </si>
  <si>
    <t>connecting flight</t>
    <phoneticPr fontId="3" type="noConversion"/>
  </si>
  <si>
    <t>音乐厅</t>
    <phoneticPr fontId="3" type="noConversion"/>
  </si>
  <si>
    <t>concert hall</t>
    <phoneticPr fontId="3" type="noConversion"/>
  </si>
  <si>
    <t>concert room</t>
    <phoneticPr fontId="3" type="noConversion"/>
  </si>
  <si>
    <t>古典音乐</t>
    <phoneticPr fontId="3" type="noConversion"/>
  </si>
  <si>
    <t>classical music</t>
    <phoneticPr fontId="3" type="noConversion"/>
  </si>
  <si>
    <t>Chapter5 Test Paper 3</t>
    <phoneticPr fontId="3" type="noConversion"/>
  </si>
  <si>
    <t>隐形眼镜</t>
    <phoneticPr fontId="3" type="noConversion"/>
  </si>
  <si>
    <t>contact lenses</t>
    <phoneticPr fontId="3" type="noConversion"/>
  </si>
  <si>
    <t>合作研究原理</t>
    <phoneticPr fontId="3" type="noConversion"/>
  </si>
  <si>
    <t>cooperating research elements</t>
    <phoneticPr fontId="3" type="noConversion"/>
  </si>
  <si>
    <t>缓解压力</t>
    <phoneticPr fontId="3" type="noConversion"/>
  </si>
  <si>
    <t>coping with stress</t>
    <phoneticPr fontId="3" type="noConversion"/>
  </si>
  <si>
    <t>筹资</t>
    <phoneticPr fontId="3" type="noConversion"/>
  </si>
  <si>
    <t>corporate loan</t>
    <phoneticPr fontId="3" type="noConversion"/>
  </si>
  <si>
    <t>性价比较高</t>
    <phoneticPr fontId="3" type="noConversion"/>
  </si>
  <si>
    <t>cost effective</t>
    <phoneticPr fontId="3" type="noConversion"/>
  </si>
  <si>
    <t>生活开销</t>
    <phoneticPr fontId="3" type="noConversion"/>
  </si>
  <si>
    <t>cost of living</t>
    <phoneticPr fontId="3" type="noConversion"/>
  </si>
  <si>
    <t>化装晚会</t>
    <phoneticPr fontId="3" type="noConversion"/>
  </si>
  <si>
    <t>costume party</t>
    <phoneticPr fontId="3" type="noConversion"/>
  </si>
  <si>
    <t>止咳药</t>
    <phoneticPr fontId="3" type="noConversion"/>
  </si>
  <si>
    <t>cough mixture</t>
    <phoneticPr fontId="3" type="noConversion"/>
  </si>
  <si>
    <t>乡村音乐</t>
    <phoneticPr fontId="3" type="noConversion"/>
  </si>
  <si>
    <t>country music</t>
    <phoneticPr fontId="3" type="noConversion"/>
  </si>
  <si>
    <t>学费</t>
    <phoneticPr fontId="3" type="noConversion"/>
  </si>
  <si>
    <t>course fee</t>
    <phoneticPr fontId="3" type="noConversion"/>
  </si>
  <si>
    <t>课程和材料</t>
    <phoneticPr fontId="3" type="noConversion"/>
  </si>
  <si>
    <t>course and materials</t>
    <phoneticPr fontId="3" type="noConversion"/>
  </si>
  <si>
    <t>课程主管</t>
    <phoneticPr fontId="3" type="noConversion"/>
  </si>
  <si>
    <t>course director</t>
    <phoneticPr fontId="3" type="noConversion"/>
  </si>
  <si>
    <t>足以支付成本</t>
    <phoneticPr fontId="3" type="noConversion"/>
  </si>
  <si>
    <t>cover the cost</t>
    <phoneticPr fontId="3" type="noConversion"/>
  </si>
  <si>
    <t>手工艺制品</t>
    <phoneticPr fontId="3" type="noConversion"/>
  </si>
  <si>
    <t>craft goods</t>
    <phoneticPr fontId="3" type="noConversion"/>
  </si>
  <si>
    <t>信用卡</t>
    <phoneticPr fontId="3" type="noConversion"/>
  </si>
  <si>
    <t>credit card</t>
    <phoneticPr fontId="3" type="noConversion"/>
  </si>
  <si>
    <t>小溪</t>
    <phoneticPr fontId="3" type="noConversion"/>
  </si>
  <si>
    <t>creeks</t>
    <phoneticPr fontId="3" type="noConversion"/>
  </si>
  <si>
    <t>犯罪意识</t>
    <phoneticPr fontId="3" type="noConversion"/>
  </si>
  <si>
    <t>crime awareness</t>
    <phoneticPr fontId="3" type="noConversion"/>
  </si>
  <si>
    <t>犯罪率</t>
    <phoneticPr fontId="3" type="noConversion"/>
  </si>
  <si>
    <t>crime rate</t>
    <phoneticPr fontId="3" type="noConversion"/>
  </si>
  <si>
    <t>通道</t>
    <phoneticPr fontId="3" type="noConversion"/>
  </si>
  <si>
    <t>cross passage</t>
    <phoneticPr fontId="3" type="noConversion"/>
  </si>
  <si>
    <t>文化差异</t>
    <phoneticPr fontId="3" type="noConversion"/>
  </si>
  <si>
    <t>cultural differences</t>
    <phoneticPr fontId="3" type="noConversion"/>
  </si>
  <si>
    <t>文化冲击</t>
    <phoneticPr fontId="3" type="noConversion"/>
  </si>
  <si>
    <t>culture shock</t>
    <phoneticPr fontId="3" type="noConversion"/>
  </si>
  <si>
    <t>曲线图</t>
    <phoneticPr fontId="3" type="noConversion"/>
  </si>
  <si>
    <t>curve chart</t>
    <phoneticPr fontId="3" type="noConversion"/>
  </si>
  <si>
    <t>货币申报单</t>
    <phoneticPr fontId="3" type="noConversion"/>
  </si>
  <si>
    <t>currency form</t>
    <phoneticPr fontId="3" type="noConversion"/>
  </si>
  <si>
    <t>现金帐户</t>
    <phoneticPr fontId="3" type="noConversion"/>
  </si>
  <si>
    <t>current account</t>
    <phoneticPr fontId="3" type="noConversion"/>
  </si>
  <si>
    <t>骑车路线</t>
    <phoneticPr fontId="3" type="noConversion"/>
  </si>
  <si>
    <t>cycling route</t>
    <phoneticPr fontId="3" type="noConversion"/>
  </si>
  <si>
    <t>海关服务</t>
    <phoneticPr fontId="3" type="noConversion"/>
  </si>
  <si>
    <t>customs service</t>
    <phoneticPr fontId="3" type="noConversion"/>
  </si>
  <si>
    <t>经过切割和抛光的</t>
    <phoneticPr fontId="3" type="noConversion"/>
  </si>
  <si>
    <t>cut and polished</t>
    <phoneticPr fontId="3" type="noConversion"/>
  </si>
  <si>
    <t>损害</t>
    <phoneticPr fontId="3" type="noConversion"/>
  </si>
  <si>
    <t>damages</t>
    <phoneticPr fontId="3" type="noConversion"/>
  </si>
  <si>
    <t>深色衣服</t>
    <phoneticPr fontId="3" type="noConversion"/>
  </si>
  <si>
    <t>dark clothes</t>
    <phoneticPr fontId="3" type="noConversion"/>
  </si>
  <si>
    <t>深色裤子</t>
    <phoneticPr fontId="3" type="noConversion"/>
  </si>
  <si>
    <t>dark trousers</t>
    <phoneticPr fontId="3" type="noConversion"/>
  </si>
  <si>
    <t>日界线</t>
    <phoneticPr fontId="3" type="noConversion"/>
  </si>
  <si>
    <t>dateline</t>
    <phoneticPr fontId="3" type="noConversion"/>
  </si>
  <si>
    <t>数据分析</t>
    <phoneticPr fontId="3" type="noConversion"/>
  </si>
  <si>
    <t>data analysis</t>
    <phoneticPr fontId="3" type="noConversion"/>
  </si>
  <si>
    <t>数据评估</t>
    <phoneticPr fontId="3" type="noConversion"/>
  </si>
  <si>
    <t>data assessment</t>
    <phoneticPr fontId="3" type="noConversion"/>
  </si>
  <si>
    <t>出生日期</t>
    <phoneticPr fontId="3" type="noConversion"/>
  </si>
  <si>
    <t>date of birth</t>
    <phoneticPr fontId="3" type="noConversion"/>
  </si>
  <si>
    <t>期限</t>
    <phoneticPr fontId="3" type="noConversion"/>
  </si>
  <si>
    <t>date of expiry</t>
    <phoneticPr fontId="3" type="noConversion"/>
  </si>
  <si>
    <t>date slip</t>
    <phoneticPr fontId="3" type="noConversion"/>
  </si>
  <si>
    <t>只是白天来上学的学生</t>
    <phoneticPr fontId="3" type="noConversion"/>
  </si>
  <si>
    <t>day pupil</t>
    <phoneticPr fontId="3" type="noConversion"/>
  </si>
  <si>
    <t>不住宿学校</t>
    <phoneticPr fontId="3" type="noConversion"/>
  </si>
  <si>
    <t>day school</t>
    <phoneticPr fontId="3" type="noConversion"/>
  </si>
  <si>
    <t>白班</t>
    <phoneticPr fontId="3" type="noConversion"/>
  </si>
  <si>
    <t>day shift</t>
    <phoneticPr fontId="3" type="noConversion"/>
  </si>
  <si>
    <t>债</t>
    <phoneticPr fontId="3" type="noConversion"/>
  </si>
  <si>
    <t>debts</t>
    <phoneticPr fontId="3" type="noConversion"/>
  </si>
  <si>
    <t>十年</t>
    <phoneticPr fontId="3" type="noConversion"/>
  </si>
  <si>
    <t>decades</t>
    <phoneticPr fontId="3" type="noConversion"/>
  </si>
  <si>
    <t>蛀牙</t>
    <phoneticPr fontId="3" type="noConversion"/>
  </si>
  <si>
    <t>decayed teeth</t>
    <phoneticPr fontId="3" type="noConversion"/>
  </si>
  <si>
    <t>装饰气球</t>
    <phoneticPr fontId="3" type="noConversion"/>
  </si>
  <si>
    <t>decoration balloons</t>
    <phoneticPr fontId="3" type="noConversion"/>
  </si>
  <si>
    <t>作演讲</t>
    <phoneticPr fontId="3" type="noConversion"/>
  </si>
  <si>
    <t>deliver a speech</t>
    <phoneticPr fontId="3" type="noConversion"/>
  </si>
  <si>
    <t>delivery desk</t>
    <phoneticPr fontId="3" type="noConversion"/>
  </si>
  <si>
    <t>系里的建筑物</t>
    <phoneticPr fontId="3" type="noConversion"/>
  </si>
  <si>
    <t>department building</t>
    <phoneticPr fontId="3" type="noConversion"/>
  </si>
  <si>
    <t>商场</t>
    <phoneticPr fontId="3" type="noConversion"/>
  </si>
  <si>
    <t>department store</t>
    <phoneticPr fontId="3" type="noConversion"/>
  </si>
  <si>
    <t>系的地址</t>
    <phoneticPr fontId="3" type="noConversion"/>
  </si>
  <si>
    <t>departmental address</t>
    <phoneticPr fontId="3" type="noConversion"/>
  </si>
  <si>
    <t>学习的欲望</t>
    <phoneticPr fontId="3" type="noConversion"/>
  </si>
  <si>
    <t>desire to learn</t>
    <phoneticPr fontId="3" type="noConversion"/>
  </si>
  <si>
    <t>台灯</t>
    <phoneticPr fontId="3" type="noConversion"/>
  </si>
  <si>
    <t>desk lamp</t>
    <phoneticPr fontId="3" type="noConversion"/>
  </si>
  <si>
    <t>细节</t>
    <phoneticPr fontId="3" type="noConversion"/>
  </si>
  <si>
    <t>details</t>
    <phoneticPr fontId="3" type="noConversion"/>
  </si>
  <si>
    <t>侦探片</t>
    <phoneticPr fontId="3" type="noConversion"/>
  </si>
  <si>
    <t>detective film</t>
    <phoneticPr fontId="3" type="noConversion"/>
  </si>
  <si>
    <t>数码相机</t>
    <phoneticPr fontId="3" type="noConversion"/>
  </si>
  <si>
    <t>digital camera</t>
    <phoneticPr fontId="3" type="noConversion"/>
  </si>
  <si>
    <t>数码系统</t>
    <phoneticPr fontId="3" type="noConversion"/>
  </si>
  <si>
    <t>digital system</t>
    <phoneticPr fontId="3" type="noConversion"/>
  </si>
  <si>
    <t>不同水平</t>
    <phoneticPr fontId="3" type="noConversion"/>
  </si>
  <si>
    <t>different levels</t>
    <phoneticPr fontId="3" type="noConversion"/>
  </si>
  <si>
    <t>学校的餐厅</t>
    <phoneticPr fontId="3" type="noConversion"/>
  </si>
  <si>
    <t>dining hall</t>
    <phoneticPr fontId="3" type="noConversion"/>
  </si>
  <si>
    <t>餐厅</t>
    <phoneticPr fontId="3" type="noConversion"/>
  </si>
  <si>
    <t>dining room</t>
    <phoneticPr fontId="3" type="noConversion"/>
  </si>
  <si>
    <t>疾病</t>
    <phoneticPr fontId="3" type="noConversion"/>
  </si>
  <si>
    <t>diseases</t>
    <phoneticPr fontId="3" type="noConversion"/>
  </si>
  <si>
    <t>离最后期限还有段时间</t>
    <phoneticPr fontId="3" type="noConversion"/>
  </si>
  <si>
    <t>distant deadline</t>
    <phoneticPr fontId="3" type="noConversion"/>
  </si>
  <si>
    <t>远程教育</t>
    <phoneticPr fontId="3" type="noConversion"/>
  </si>
  <si>
    <t>distance learning</t>
    <phoneticPr fontId="3" type="noConversion"/>
  </si>
  <si>
    <t>离婚率</t>
    <phoneticPr fontId="3" type="noConversion"/>
  </si>
  <si>
    <t>divorce rate</t>
    <phoneticPr fontId="3" type="noConversion"/>
  </si>
  <si>
    <t>显著特色</t>
    <phoneticPr fontId="3" type="noConversion"/>
  </si>
  <si>
    <t>distinguishing feature</t>
    <phoneticPr fontId="3" type="noConversion"/>
  </si>
  <si>
    <t>人口分布</t>
    <phoneticPr fontId="3" type="noConversion"/>
  </si>
  <si>
    <t>distribution of population</t>
    <phoneticPr fontId="3" type="noConversion"/>
  </si>
  <si>
    <t>下降趋势</t>
    <phoneticPr fontId="3" type="noConversion"/>
  </si>
  <si>
    <t>downward trend</t>
    <phoneticPr fontId="3" type="noConversion"/>
  </si>
  <si>
    <t>上培训课</t>
    <phoneticPr fontId="3" type="noConversion"/>
  </si>
  <si>
    <t>do training courses</t>
    <phoneticPr fontId="3" type="noConversion"/>
  </si>
  <si>
    <t>博士学位</t>
    <phoneticPr fontId="3" type="noConversion"/>
  </si>
  <si>
    <t>doctor's degree</t>
    <phoneticPr fontId="3" type="noConversion"/>
  </si>
  <si>
    <t>内部因素</t>
    <phoneticPr fontId="3" type="noConversion"/>
  </si>
  <si>
    <t>domestic factors</t>
    <phoneticPr fontId="3" type="noConversion"/>
  </si>
  <si>
    <t>当地学生</t>
    <phoneticPr fontId="3" type="noConversion"/>
  </si>
  <si>
    <t>domestic student</t>
    <phoneticPr fontId="3" type="noConversion"/>
  </si>
  <si>
    <t>家庭暴力</t>
    <phoneticPr fontId="3" type="noConversion"/>
  </si>
  <si>
    <t>domestic violence</t>
    <phoneticPr fontId="3" type="noConversion"/>
  </si>
  <si>
    <t>门钥匙</t>
    <phoneticPr fontId="3" type="noConversion"/>
  </si>
  <si>
    <t>door key</t>
    <phoneticPr fontId="3" type="noConversion"/>
  </si>
  <si>
    <t>上门服务</t>
    <phoneticPr fontId="3" type="noConversion"/>
  </si>
  <si>
    <t>door-to-door service</t>
    <phoneticPr fontId="3" type="noConversion"/>
  </si>
  <si>
    <t>药品</t>
    <phoneticPr fontId="3" type="noConversion"/>
  </si>
  <si>
    <t>drugs</t>
    <phoneticPr fontId="3" type="noConversion"/>
  </si>
  <si>
    <t>反锁</t>
    <phoneticPr fontId="3" type="noConversion"/>
  </si>
  <si>
    <t>double lock</t>
    <phoneticPr fontId="3" type="noConversion"/>
  </si>
  <si>
    <t>配有一张双人床的房间</t>
    <phoneticPr fontId="3" type="noConversion"/>
  </si>
  <si>
    <t>double room</t>
    <phoneticPr fontId="3" type="noConversion"/>
  </si>
  <si>
    <t>双层烤架</t>
    <phoneticPr fontId="3" type="noConversion"/>
  </si>
  <si>
    <t>double grill</t>
    <phoneticPr fontId="3" type="noConversion"/>
  </si>
  <si>
    <t>戏剧影院</t>
    <phoneticPr fontId="3" type="noConversion"/>
  </si>
  <si>
    <t>Drama Theater</t>
    <phoneticPr fontId="3" type="noConversion"/>
  </si>
  <si>
    <t>戏剧节</t>
    <phoneticPr fontId="3" type="noConversion"/>
  </si>
  <si>
    <t>Drama Festival</t>
    <phoneticPr fontId="3" type="noConversion"/>
  </si>
  <si>
    <t>话剧老师</t>
    <phoneticPr fontId="3" type="noConversion"/>
  </si>
  <si>
    <t>drama teacher</t>
    <phoneticPr fontId="3" type="noConversion"/>
  </si>
  <si>
    <t>得出结论</t>
    <phoneticPr fontId="3" type="noConversion"/>
  </si>
  <si>
    <t>draw a conclusion</t>
    <phoneticPr fontId="3" type="noConversion"/>
  </si>
  <si>
    <t>残疾人通道</t>
    <phoneticPr fontId="3" type="noConversion"/>
  </si>
  <si>
    <t>disabled access</t>
    <phoneticPr fontId="3" type="noConversion"/>
  </si>
  <si>
    <t>辍学率</t>
    <phoneticPr fontId="3" type="noConversion"/>
  </si>
  <si>
    <t>dropout rate</t>
    <phoneticPr fontId="3" type="noConversion"/>
  </si>
  <si>
    <t>着装要求</t>
    <phoneticPr fontId="3" type="noConversion"/>
  </si>
  <si>
    <t>dress code</t>
    <phoneticPr fontId="3" type="noConversion"/>
  </si>
  <si>
    <t>彩排</t>
    <phoneticPr fontId="3" type="noConversion"/>
  </si>
  <si>
    <t>dress rehearsal</t>
    <phoneticPr fontId="3" type="noConversion"/>
  </si>
  <si>
    <t>争论</t>
    <phoneticPr fontId="3" type="noConversion"/>
  </si>
  <si>
    <t>disputes</t>
    <phoneticPr fontId="3" type="noConversion"/>
  </si>
  <si>
    <t>饮水机</t>
    <phoneticPr fontId="3" type="noConversion"/>
  </si>
  <si>
    <t>drinking machine</t>
    <phoneticPr fontId="3" type="noConversion"/>
  </si>
  <si>
    <t>饮料和零食</t>
    <phoneticPr fontId="3" type="noConversion"/>
  </si>
  <si>
    <t>drinks and snacks</t>
    <phoneticPr fontId="3" type="noConversion"/>
  </si>
  <si>
    <t>少喝咖啡</t>
    <phoneticPr fontId="3" type="noConversion"/>
  </si>
  <si>
    <t>drink less coffee</t>
    <phoneticPr fontId="3" type="noConversion"/>
  </si>
  <si>
    <t>驾照</t>
    <phoneticPr fontId="3" type="noConversion"/>
  </si>
  <si>
    <t>driver's license</t>
    <phoneticPr fontId="3" type="noConversion"/>
  </si>
  <si>
    <t>driving license</t>
    <phoneticPr fontId="3" type="noConversion"/>
  </si>
  <si>
    <t>董事</t>
    <phoneticPr fontId="3" type="noConversion"/>
  </si>
  <si>
    <t>directors</t>
    <phoneticPr fontId="3" type="noConversion"/>
  </si>
  <si>
    <t>丢垃圾的地方</t>
    <phoneticPr fontId="3" type="noConversion"/>
  </si>
  <si>
    <t>drop-off site</t>
    <phoneticPr fontId="3" type="noConversion"/>
  </si>
  <si>
    <t>放下</t>
    <phoneticPr fontId="3" type="noConversion"/>
  </si>
  <si>
    <t>drop-off</t>
    <phoneticPr fontId="3" type="noConversion"/>
  </si>
  <si>
    <t>尼尔尼诺现象</t>
    <phoneticPr fontId="3" type="noConversion"/>
  </si>
  <si>
    <t>Neil Nino</t>
    <phoneticPr fontId="3" type="noConversion"/>
  </si>
  <si>
    <t>鹰路地名</t>
    <phoneticPr fontId="3" type="noConversion"/>
  </si>
  <si>
    <t>Eagle Road</t>
    <phoneticPr fontId="3" type="noConversion"/>
  </si>
  <si>
    <t>东海滩</t>
    <phoneticPr fontId="3" type="noConversion"/>
  </si>
  <si>
    <t>eastern beach</t>
    <phoneticPr fontId="3" type="noConversion"/>
  </si>
  <si>
    <t>吃有害昆虫</t>
    <phoneticPr fontId="3" type="noConversion"/>
  </si>
  <si>
    <t>eat harmful insects</t>
    <phoneticPr fontId="3" type="noConversion"/>
  </si>
  <si>
    <t>经济增长</t>
    <phoneticPr fontId="3" type="noConversion"/>
  </si>
  <si>
    <t>economic growth</t>
    <phoneticPr fontId="3" type="noConversion"/>
  </si>
  <si>
    <t>经济学史</t>
    <phoneticPr fontId="3" type="noConversion"/>
  </si>
  <si>
    <t>economic history</t>
    <phoneticPr fontId="3" type="noConversion"/>
  </si>
  <si>
    <t>经济舱</t>
    <phoneticPr fontId="3" type="noConversion"/>
  </si>
  <si>
    <t>economy class</t>
    <phoneticPr fontId="3" type="noConversion"/>
  </si>
  <si>
    <t>教育展</t>
    <phoneticPr fontId="3" type="noConversion"/>
  </si>
  <si>
    <t>education exhibition</t>
    <phoneticPr fontId="3" type="noConversion"/>
  </si>
  <si>
    <t>教育官员</t>
    <phoneticPr fontId="3" type="noConversion"/>
  </si>
  <si>
    <t>education officer</t>
    <phoneticPr fontId="3" type="noConversion"/>
  </si>
  <si>
    <t>教育标准</t>
    <phoneticPr fontId="3" type="noConversion"/>
  </si>
  <si>
    <t>education standard</t>
    <phoneticPr fontId="3" type="noConversion"/>
  </si>
  <si>
    <t>教育制度</t>
    <phoneticPr fontId="3" type="noConversion"/>
  </si>
  <si>
    <t>education system</t>
    <phoneticPr fontId="3" type="noConversion"/>
  </si>
  <si>
    <t>电子监控器</t>
    <phoneticPr fontId="3" type="noConversion"/>
  </si>
  <si>
    <t>electronic director</t>
    <phoneticPr fontId="3" type="noConversion"/>
  </si>
  <si>
    <t>电风扇</t>
    <phoneticPr fontId="3" type="noConversion"/>
  </si>
  <si>
    <t>electric fan</t>
    <phoneticPr fontId="3" type="noConversion"/>
  </si>
  <si>
    <t>电费</t>
    <phoneticPr fontId="3" type="noConversion"/>
  </si>
  <si>
    <t>electricity bill</t>
    <phoneticPr fontId="3" type="noConversion"/>
  </si>
  <si>
    <t>electricity fee</t>
    <phoneticPr fontId="3" type="noConversion"/>
  </si>
  <si>
    <t>电子词典</t>
    <phoneticPr fontId="3" type="noConversion"/>
  </si>
  <si>
    <t>electronic dictionary</t>
    <phoneticPr fontId="3" type="noConversion"/>
  </si>
  <si>
    <t>电子邮件附件</t>
    <phoneticPr fontId="3" type="noConversion"/>
  </si>
  <si>
    <t>email attachment</t>
    <phoneticPr fontId="3" type="noConversion"/>
  </si>
  <si>
    <t>电邮帐号</t>
    <phoneticPr fontId="3" type="noConversion"/>
  </si>
  <si>
    <t>email account</t>
    <phoneticPr fontId="3" type="noConversion"/>
  </si>
  <si>
    <t>电子邮箱</t>
    <phoneticPr fontId="3" type="noConversion"/>
  </si>
  <si>
    <t>email address</t>
    <phoneticPr fontId="3" type="noConversion"/>
  </si>
  <si>
    <t>紧急联系人</t>
    <phoneticPr fontId="3" type="noConversion"/>
  </si>
  <si>
    <t>emergency contact person</t>
    <phoneticPr fontId="3" type="noConversion"/>
  </si>
  <si>
    <t>紧急电话号码</t>
    <phoneticPr fontId="3" type="noConversion"/>
  </si>
  <si>
    <t>emergency telephone number</t>
    <phoneticPr fontId="3" type="noConversion"/>
  </si>
  <si>
    <t>表盘，拨</t>
    <phoneticPr fontId="3" type="noConversion"/>
  </si>
  <si>
    <t>dial</t>
    <phoneticPr fontId="3" type="noConversion"/>
  </si>
  <si>
    <t>Chapter5 Test Paper 4</t>
    <phoneticPr fontId="3" type="noConversion"/>
  </si>
  <si>
    <t>感情和情绪</t>
    <phoneticPr fontId="3" type="noConversion"/>
  </si>
  <si>
    <t>emotion and mood</t>
    <phoneticPr fontId="3" type="noConversion"/>
  </si>
  <si>
    <t>学期末</t>
    <phoneticPr fontId="3" type="noConversion"/>
  </si>
  <si>
    <t>end of term</t>
    <phoneticPr fontId="3" type="noConversion"/>
  </si>
  <si>
    <t>濒危物种</t>
    <phoneticPr fontId="3" type="noConversion"/>
  </si>
  <si>
    <t>endangered species</t>
    <phoneticPr fontId="3" type="noConversion"/>
  </si>
  <si>
    <t>能源业</t>
    <phoneticPr fontId="3" type="noConversion"/>
  </si>
  <si>
    <t>energy industry</t>
    <phoneticPr fontId="3" type="noConversion"/>
  </si>
  <si>
    <t>工程师</t>
    <phoneticPr fontId="3" type="noConversion"/>
  </si>
  <si>
    <t>engineers</t>
    <phoneticPr fontId="3" type="noConversion"/>
  </si>
  <si>
    <t>工程室</t>
    <phoneticPr fontId="3" type="noConversion"/>
  </si>
  <si>
    <t>engineering room</t>
    <phoneticPr fontId="3" type="noConversion"/>
  </si>
  <si>
    <t>engrave</t>
    <phoneticPr fontId="3" type="noConversion"/>
  </si>
  <si>
    <t>报名费</t>
    <phoneticPr fontId="3" type="noConversion"/>
  </si>
  <si>
    <t>enrollment fee</t>
    <phoneticPr fontId="3" type="noConversion"/>
  </si>
  <si>
    <t>游览门票</t>
    <phoneticPr fontId="3" type="noConversion"/>
  </si>
  <si>
    <t>entrance fee</t>
    <phoneticPr fontId="3" type="noConversion"/>
  </si>
  <si>
    <t>环境机构</t>
    <phoneticPr fontId="3" type="noConversion"/>
  </si>
  <si>
    <t>environment agency</t>
    <phoneticPr fontId="3" type="noConversion"/>
  </si>
  <si>
    <t>环境破坏</t>
    <phoneticPr fontId="3" type="noConversion"/>
  </si>
  <si>
    <t>environmental damage</t>
    <phoneticPr fontId="3" type="noConversion"/>
  </si>
  <si>
    <t>环境问题</t>
    <phoneticPr fontId="3" type="noConversion"/>
  </si>
  <si>
    <t>environmental issues</t>
    <phoneticPr fontId="3" type="noConversion"/>
  </si>
  <si>
    <t>环境科学</t>
    <phoneticPr fontId="3" type="noConversion"/>
  </si>
  <si>
    <t>environmental science</t>
    <phoneticPr fontId="3" type="noConversion"/>
  </si>
  <si>
    <t>环境研究</t>
    <phoneticPr fontId="3" type="noConversion"/>
  </si>
  <si>
    <t>environmental studies</t>
    <phoneticPr fontId="3" type="noConversion"/>
  </si>
  <si>
    <t>环保的</t>
    <phoneticPr fontId="3" type="noConversion"/>
  </si>
  <si>
    <t>environmentally-friendly</t>
    <phoneticPr fontId="3" type="noConversion"/>
  </si>
  <si>
    <t>晚间新闻</t>
    <phoneticPr fontId="3" type="noConversion"/>
  </si>
  <si>
    <t>Evening News</t>
    <phoneticPr fontId="3" type="noConversion"/>
  </si>
  <si>
    <t>晚间约会</t>
    <phoneticPr fontId="3" type="noConversion"/>
  </si>
  <si>
    <t>evening appointment</t>
    <phoneticPr fontId="3" type="noConversion"/>
  </si>
  <si>
    <t>锻炼肌肉</t>
    <phoneticPr fontId="3" type="noConversion"/>
  </si>
  <si>
    <t>exercise one's muscles</t>
    <phoneticPr fontId="3" type="noConversion"/>
  </si>
  <si>
    <t>乐器展</t>
    <phoneticPr fontId="3" type="noConversion"/>
  </si>
  <si>
    <t>exhibition of instruments</t>
    <phoneticPr fontId="3" type="noConversion"/>
  </si>
  <si>
    <t>建筑实验</t>
    <phoneticPr fontId="3" type="noConversion"/>
  </si>
  <si>
    <t>experimental for construction</t>
    <phoneticPr fontId="3" type="noConversion"/>
  </si>
  <si>
    <t>实验设施</t>
    <phoneticPr fontId="3" type="noConversion"/>
  </si>
  <si>
    <t>experimental facilities</t>
    <phoneticPr fontId="3" type="noConversion"/>
  </si>
  <si>
    <t>预计持续时间</t>
    <phoneticPr fontId="3" type="noConversion"/>
  </si>
  <si>
    <t>expected duration</t>
    <phoneticPr fontId="3" type="noConversion"/>
  </si>
  <si>
    <t>特快列车</t>
    <phoneticPr fontId="3" type="noConversion"/>
  </si>
  <si>
    <t>express train</t>
    <phoneticPr fontId="3" type="noConversion"/>
  </si>
  <si>
    <t>高速公路</t>
    <phoneticPr fontId="3" type="noConversion"/>
  </si>
  <si>
    <t>express way</t>
    <phoneticPr fontId="3" type="noConversion"/>
  </si>
  <si>
    <t>分机号</t>
    <phoneticPr fontId="3" type="noConversion"/>
  </si>
  <si>
    <t>extension number</t>
    <phoneticPr fontId="3" type="noConversion"/>
  </si>
  <si>
    <t>大量的写作</t>
    <phoneticPr fontId="3" type="noConversion"/>
  </si>
  <si>
    <t>extensive writing</t>
    <phoneticPr fontId="3" type="noConversion"/>
  </si>
  <si>
    <t>交换草稿</t>
    <phoneticPr fontId="3" type="noConversion"/>
  </si>
  <si>
    <t>exchange drafts</t>
    <phoneticPr fontId="3" type="noConversion"/>
  </si>
  <si>
    <t>小费</t>
    <phoneticPr fontId="3" type="noConversion"/>
  </si>
  <si>
    <t>extra charge</t>
    <phoneticPr fontId="3" type="noConversion"/>
  </si>
  <si>
    <t>额外工作量</t>
    <phoneticPr fontId="3" type="noConversion"/>
  </si>
  <si>
    <t>extra workload</t>
    <phoneticPr fontId="3" type="noConversion"/>
  </si>
  <si>
    <t>伦理片</t>
    <phoneticPr fontId="3" type="noConversion"/>
  </si>
  <si>
    <t>ethical film</t>
    <phoneticPr fontId="3" type="noConversion"/>
  </si>
  <si>
    <t>眼科医生</t>
    <phoneticPr fontId="3" type="noConversion"/>
  </si>
  <si>
    <t>eye doctor</t>
    <phoneticPr fontId="3" type="noConversion"/>
  </si>
  <si>
    <t>目光交流</t>
    <phoneticPr fontId="3" type="noConversion"/>
  </si>
  <si>
    <t>eye contacts</t>
    <phoneticPr fontId="3" type="noConversion"/>
  </si>
  <si>
    <t>提纲</t>
    <phoneticPr fontId="3" type="noConversion"/>
  </si>
  <si>
    <t>essay plan</t>
    <phoneticPr fontId="3" type="noConversion"/>
  </si>
  <si>
    <t>灭绝物种</t>
    <phoneticPr fontId="3" type="noConversion"/>
  </si>
  <si>
    <t>extinct species</t>
    <phoneticPr fontId="3" type="noConversion"/>
  </si>
  <si>
    <t>面对面采访</t>
    <phoneticPr fontId="3" type="noConversion"/>
  </si>
  <si>
    <t>face-to-face interview</t>
    <phoneticPr fontId="3" type="noConversion"/>
  </si>
  <si>
    <t>不及格率</t>
    <phoneticPr fontId="3" type="noConversion"/>
  </si>
  <si>
    <t>failure rate</t>
    <phoneticPr fontId="3" type="noConversion"/>
  </si>
  <si>
    <t>家族病史</t>
    <phoneticPr fontId="3" type="noConversion"/>
  </si>
  <si>
    <t>family medical history</t>
    <phoneticPr fontId="3" type="noConversion"/>
  </si>
  <si>
    <t>熟悉通晓</t>
    <phoneticPr fontId="3" type="noConversion"/>
  </si>
  <si>
    <t>familiar with</t>
    <phoneticPr fontId="3" type="noConversion"/>
  </si>
  <si>
    <t>family abuse</t>
    <phoneticPr fontId="3" type="noConversion"/>
  </si>
  <si>
    <t>家庭套票</t>
    <phoneticPr fontId="3" type="noConversion"/>
  </si>
  <si>
    <t>family ticket</t>
    <phoneticPr fontId="3" type="noConversion"/>
  </si>
  <si>
    <t>姓</t>
    <phoneticPr fontId="3" type="noConversion"/>
  </si>
  <si>
    <t>family name</t>
    <phoneticPr fontId="3" type="noConversion"/>
  </si>
  <si>
    <t>家庭关系</t>
    <phoneticPr fontId="3" type="noConversion"/>
  </si>
  <si>
    <t>family relationship</t>
    <phoneticPr fontId="3" type="noConversion"/>
  </si>
  <si>
    <t>化妆晚会穿的奇装异服</t>
    <phoneticPr fontId="3" type="noConversion"/>
  </si>
  <si>
    <t>fancy dress</t>
    <phoneticPr fontId="3" type="noConversion"/>
  </si>
  <si>
    <t>化妆舞会</t>
    <phoneticPr fontId="3" type="noConversion"/>
  </si>
  <si>
    <t>fancy ball</t>
    <phoneticPr fontId="3" type="noConversion"/>
  </si>
  <si>
    <t>fancy dress party</t>
    <phoneticPr fontId="3" type="noConversion"/>
  </si>
  <si>
    <t xml:space="preserve">	隼</t>
    <phoneticPr fontId="3" type="noConversion"/>
  </si>
  <si>
    <t>falcons</t>
    <phoneticPr fontId="3" type="noConversion"/>
  </si>
  <si>
    <t>告别会</t>
    <phoneticPr fontId="3" type="noConversion"/>
  </si>
  <si>
    <t>farewell party</t>
    <phoneticPr fontId="3" type="noConversion"/>
  </si>
  <si>
    <t>农产品</t>
    <phoneticPr fontId="3" type="noConversion"/>
  </si>
  <si>
    <t>farming products</t>
    <phoneticPr fontId="3" type="noConversion"/>
  </si>
  <si>
    <t>担心失业</t>
    <phoneticPr fontId="3" type="noConversion"/>
  </si>
  <si>
    <t>fear of unemployment</t>
    <phoneticPr fontId="3" type="noConversion"/>
  </si>
  <si>
    <t>测脉搏</t>
    <phoneticPr fontId="3" type="noConversion"/>
  </si>
  <si>
    <t>feel one's pulse</t>
    <phoneticPr fontId="3" type="noConversion"/>
  </si>
  <si>
    <t>女尸的研究</t>
    <phoneticPr fontId="3" type="noConversion"/>
  </si>
  <si>
    <t>female corpse study</t>
    <phoneticPr fontId="3" type="noConversion"/>
  </si>
  <si>
    <t>土地作业方式</t>
    <phoneticPr fontId="3" type="noConversion"/>
  </si>
  <si>
    <t>field method</t>
    <phoneticPr fontId="3" type="noConversion"/>
  </si>
  <si>
    <t>土地系统</t>
    <phoneticPr fontId="3" type="noConversion"/>
  </si>
  <si>
    <t>field system</t>
    <phoneticPr fontId="3" type="noConversion"/>
  </si>
  <si>
    <t>实习</t>
    <phoneticPr fontId="3" type="noConversion"/>
  </si>
  <si>
    <t>field trip</t>
    <phoneticPr fontId="3" type="noConversion"/>
  </si>
  <si>
    <t>field work</t>
    <phoneticPr fontId="3" type="noConversion"/>
  </si>
  <si>
    <t>电影节</t>
    <phoneticPr fontId="3" type="noConversion"/>
  </si>
  <si>
    <t>film festival</t>
    <phoneticPr fontId="3" type="noConversion"/>
  </si>
  <si>
    <t>电影工作室</t>
    <phoneticPr fontId="3" type="noConversion"/>
  </si>
  <si>
    <t>film studio</t>
    <phoneticPr fontId="3" type="noConversion"/>
  </si>
  <si>
    <t>理财建议</t>
    <phoneticPr fontId="3" type="noConversion"/>
  </si>
  <si>
    <t>financial advice</t>
    <phoneticPr fontId="3" type="noConversion"/>
  </si>
  <si>
    <t>财务问题</t>
    <phoneticPr fontId="3" type="noConversion"/>
  </si>
  <si>
    <t>financial affairs</t>
    <phoneticPr fontId="3" type="noConversion"/>
  </si>
  <si>
    <t>财政预算</t>
    <phoneticPr fontId="3" type="noConversion"/>
  </si>
  <si>
    <t>financial budget</t>
    <phoneticPr fontId="3" type="noConversion"/>
  </si>
  <si>
    <t>金融系</t>
    <phoneticPr fontId="3" type="noConversion"/>
  </si>
  <si>
    <t>financial department</t>
    <phoneticPr fontId="3" type="noConversion"/>
  </si>
  <si>
    <t>财务主管</t>
    <phoneticPr fontId="3" type="noConversion"/>
  </si>
  <si>
    <t>financial executive</t>
    <phoneticPr fontId="3" type="noConversion"/>
  </si>
  <si>
    <t>经济目标</t>
    <phoneticPr fontId="3" type="noConversion"/>
  </si>
  <si>
    <t>financial goals</t>
    <phoneticPr fontId="3" type="noConversion"/>
  </si>
  <si>
    <t>金融市场</t>
    <phoneticPr fontId="3" type="noConversion"/>
  </si>
  <si>
    <t>financial market</t>
    <phoneticPr fontId="3" type="noConversion"/>
  </si>
  <si>
    <t>金融团体</t>
    <phoneticPr fontId="3" type="noConversion"/>
  </si>
  <si>
    <t>financial organization</t>
    <phoneticPr fontId="3" type="noConversion"/>
  </si>
  <si>
    <t>金融政策</t>
    <phoneticPr fontId="3" type="noConversion"/>
  </si>
  <si>
    <t>financial policy</t>
    <phoneticPr fontId="3" type="noConversion"/>
  </si>
  <si>
    <t>财务问题经济问题</t>
    <phoneticPr fontId="3" type="noConversion"/>
  </si>
  <si>
    <t>financial problems</t>
    <phoneticPr fontId="3" type="noConversion"/>
  </si>
  <si>
    <t>缺钱</t>
    <phoneticPr fontId="3" type="noConversion"/>
  </si>
  <si>
    <t>financial shortage</t>
    <phoneticPr fontId="3" type="noConversion"/>
  </si>
  <si>
    <t>经济来源</t>
    <phoneticPr fontId="3" type="noConversion"/>
  </si>
  <si>
    <t>financial source</t>
    <phoneticPr fontId="3" type="noConversion"/>
  </si>
  <si>
    <t>美术</t>
    <phoneticPr fontId="3" type="noConversion"/>
  </si>
  <si>
    <t>fine arts</t>
    <phoneticPr fontId="3" type="noConversion"/>
  </si>
  <si>
    <t>质地细腻</t>
    <phoneticPr fontId="3" type="noConversion"/>
  </si>
  <si>
    <t>fine texture</t>
    <phoneticPr fontId="3" type="noConversion"/>
  </si>
  <si>
    <t>火警</t>
    <phoneticPr fontId="3" type="noConversion"/>
  </si>
  <si>
    <t>fire alarm</t>
    <phoneticPr fontId="3" type="noConversion"/>
  </si>
  <si>
    <t>灭火毯</t>
    <phoneticPr fontId="3" type="noConversion"/>
  </si>
  <si>
    <t>fire blanket</t>
    <phoneticPr fontId="3" type="noConversion"/>
  </si>
  <si>
    <t>火警演习</t>
    <phoneticPr fontId="3" type="noConversion"/>
  </si>
  <si>
    <t>fire drill</t>
    <phoneticPr fontId="3" type="noConversion"/>
  </si>
  <si>
    <t>火灾防范</t>
    <phoneticPr fontId="3" type="noConversion"/>
  </si>
  <si>
    <t>fire management</t>
    <phoneticPr fontId="3" type="noConversion"/>
  </si>
  <si>
    <t>英式二楼，美式一楼</t>
    <phoneticPr fontId="3" type="noConversion"/>
  </si>
  <si>
    <t>first floor</t>
    <phoneticPr fontId="3" type="noConversion"/>
  </si>
  <si>
    <t>名</t>
    <phoneticPr fontId="3" type="noConversion"/>
  </si>
  <si>
    <t>first name</t>
    <phoneticPr fontId="3" type="noConversion"/>
  </si>
  <si>
    <t>急救箱</t>
    <phoneticPr fontId="3" type="noConversion"/>
  </si>
  <si>
    <t>first-aid kit</t>
    <phoneticPr fontId="3" type="noConversion"/>
  </si>
  <si>
    <t>大一学生</t>
    <phoneticPr fontId="3" type="noConversion"/>
  </si>
  <si>
    <t>first-year student</t>
    <phoneticPr fontId="3" type="noConversion"/>
  </si>
  <si>
    <t>鱼饼</t>
    <phoneticPr fontId="3" type="noConversion"/>
  </si>
  <si>
    <t>fish cakes</t>
    <phoneticPr fontId="3" type="noConversion"/>
  </si>
  <si>
    <t>鱼缸</t>
    <phoneticPr fontId="3" type="noConversion"/>
  </si>
  <si>
    <t>fish tank</t>
    <phoneticPr fontId="3" type="noConversion"/>
  </si>
  <si>
    <t>渔船</t>
    <phoneticPr fontId="3" type="noConversion"/>
  </si>
  <si>
    <t>fishing boat</t>
    <phoneticPr fontId="3" type="noConversion"/>
  </si>
  <si>
    <t>渔业</t>
    <phoneticPr fontId="3" type="noConversion"/>
  </si>
  <si>
    <t>fishing industry</t>
    <phoneticPr fontId="3" type="noConversion"/>
  </si>
  <si>
    <t>健身中心</t>
    <phoneticPr fontId="3" type="noConversion"/>
  </si>
  <si>
    <t>fitness centre</t>
    <phoneticPr fontId="3" type="noConversion"/>
  </si>
  <si>
    <t>健身会所</t>
    <phoneticPr fontId="3" type="noConversion"/>
  </si>
  <si>
    <t>fitness club</t>
    <phoneticPr fontId="3" type="noConversion"/>
  </si>
  <si>
    <t>身体状况</t>
    <phoneticPr fontId="3" type="noConversion"/>
  </si>
  <si>
    <t>fitness level</t>
    <phoneticPr fontId="3" type="noConversion"/>
  </si>
  <si>
    <t>健身训练</t>
    <phoneticPr fontId="3" type="noConversion"/>
  </si>
  <si>
    <t>fitness training</t>
    <phoneticPr fontId="3" type="noConversion"/>
  </si>
  <si>
    <t>固定花费</t>
    <phoneticPr fontId="3" type="noConversion"/>
  </si>
  <si>
    <t>fixed expenses</t>
    <phoneticPr fontId="3" type="noConversion"/>
  </si>
  <si>
    <t>弹性工作时间</t>
    <phoneticPr fontId="3" type="noConversion"/>
  </si>
  <si>
    <t>flexible working time</t>
    <phoneticPr fontId="3" type="noConversion"/>
  </si>
  <si>
    <t>航班号</t>
    <phoneticPr fontId="3" type="noConversion"/>
  </si>
  <si>
    <t>flight number</t>
    <phoneticPr fontId="3" type="noConversion"/>
  </si>
  <si>
    <t>花朵的味道</t>
    <phoneticPr fontId="3" type="noConversion"/>
  </si>
  <si>
    <t>flowers' taste</t>
    <phoneticPr fontId="3" type="noConversion"/>
  </si>
  <si>
    <t>飞行器</t>
    <phoneticPr fontId="3" type="noConversion"/>
  </si>
  <si>
    <t>flying craft</t>
    <phoneticPr fontId="3" type="noConversion"/>
  </si>
  <si>
    <t>飞行速度</t>
    <phoneticPr fontId="3" type="noConversion"/>
  </si>
  <si>
    <t>flying speed</t>
    <phoneticPr fontId="3" type="noConversion"/>
  </si>
  <si>
    <t>食品加工</t>
    <phoneticPr fontId="3" type="noConversion"/>
  </si>
  <si>
    <t>food processing</t>
    <phoneticPr fontId="3" type="noConversion"/>
  </si>
  <si>
    <t>食物和油</t>
    <phoneticPr fontId="3" type="noConversion"/>
  </si>
  <si>
    <t>food and oil</t>
    <phoneticPr fontId="3" type="noConversion"/>
  </si>
  <si>
    <t>食物链</t>
    <phoneticPr fontId="3" type="noConversion"/>
  </si>
  <si>
    <t>food chain</t>
    <phoneticPr fontId="3" type="noConversion"/>
  </si>
  <si>
    <t>集中于</t>
    <phoneticPr fontId="3" type="noConversion"/>
  </si>
  <si>
    <t>focus on</t>
    <phoneticPr fontId="3" type="noConversion"/>
  </si>
  <si>
    <t>足球俱乐部</t>
    <phoneticPr fontId="3" type="noConversion"/>
  </si>
  <si>
    <t>football club</t>
    <phoneticPr fontId="3" type="noConversion"/>
  </si>
  <si>
    <t>足球比赛</t>
    <phoneticPr fontId="3" type="noConversion"/>
  </si>
  <si>
    <t>football match</t>
    <phoneticPr fontId="3" type="noConversion"/>
  </si>
  <si>
    <t>出售</t>
    <phoneticPr fontId="3" type="noConversion"/>
  </si>
  <si>
    <t>for sale</t>
    <phoneticPr fontId="3" type="noConversion"/>
  </si>
  <si>
    <t>林业</t>
    <phoneticPr fontId="3" type="noConversion"/>
  </si>
  <si>
    <t>forestry industry</t>
    <phoneticPr fontId="3" type="noConversion"/>
  </si>
  <si>
    <t>正式服装</t>
    <phoneticPr fontId="3" type="noConversion"/>
  </si>
  <si>
    <t>formal clothes</t>
    <phoneticPr fontId="3" type="noConversion"/>
  </si>
  <si>
    <t>四个晚上</t>
    <phoneticPr fontId="3" type="noConversion"/>
  </si>
  <si>
    <t>four nights</t>
    <phoneticPr fontId="3" type="noConversion"/>
  </si>
  <si>
    <t>十四天</t>
    <phoneticPr fontId="3" type="noConversion"/>
  </si>
  <si>
    <t>大四学生</t>
    <phoneticPr fontId="3" type="noConversion"/>
  </si>
  <si>
    <t>fourth-year student</t>
    <phoneticPr fontId="3" type="noConversion"/>
  </si>
  <si>
    <t>Chapter5 Test Paper 5</t>
    <phoneticPr fontId="3" type="noConversion"/>
  </si>
  <si>
    <t>免费供暖</t>
    <phoneticPr fontId="3" type="noConversion"/>
  </si>
  <si>
    <t>free for heating</t>
    <phoneticPr fontId="3" type="noConversion"/>
  </si>
  <si>
    <t>免费</t>
    <phoneticPr fontId="3" type="noConversion"/>
  </si>
  <si>
    <t>free of charge</t>
    <phoneticPr fontId="3" type="noConversion"/>
  </si>
  <si>
    <t>免费运送</t>
    <phoneticPr fontId="3" type="noConversion"/>
  </si>
  <si>
    <t>free transportation</t>
    <phoneticPr fontId="3" type="noConversion"/>
  </si>
  <si>
    <t>果汁</t>
    <phoneticPr fontId="3" type="noConversion"/>
  </si>
  <si>
    <t>fruit juice</t>
    <phoneticPr fontId="3" type="noConversion"/>
  </si>
  <si>
    <t>果树</t>
    <phoneticPr fontId="3" type="noConversion"/>
  </si>
  <si>
    <t>fruit trees</t>
    <phoneticPr fontId="3" type="noConversion"/>
  </si>
  <si>
    <t>位置及功能</t>
    <phoneticPr fontId="3" type="noConversion"/>
  </si>
  <si>
    <t>functions and places</t>
    <phoneticPr fontId="3" type="noConversion"/>
  </si>
  <si>
    <t>全日制</t>
    <phoneticPr fontId="3" type="noConversion"/>
  </si>
  <si>
    <t>full time</t>
    <phoneticPr fontId="3" type="noConversion"/>
  </si>
  <si>
    <t>全名</t>
    <phoneticPr fontId="3" type="noConversion"/>
  </si>
  <si>
    <t>full name</t>
    <phoneticPr fontId="3" type="noConversion"/>
  </si>
  <si>
    <t>皮毛交易</t>
    <phoneticPr fontId="3" type="noConversion"/>
  </si>
  <si>
    <t>fur trade</t>
    <phoneticPr fontId="3" type="noConversion"/>
  </si>
  <si>
    <t>继续教育</t>
    <phoneticPr fontId="3" type="noConversion"/>
  </si>
  <si>
    <t>further education</t>
    <phoneticPr fontId="3" type="noConversion"/>
  </si>
  <si>
    <t>花园大厅</t>
    <phoneticPr fontId="3" type="noConversion"/>
  </si>
  <si>
    <t>Garden Hall</t>
    <phoneticPr fontId="3" type="noConversion"/>
  </si>
  <si>
    <t>园艺工具</t>
    <phoneticPr fontId="3" type="noConversion"/>
  </si>
  <si>
    <t>garden tools</t>
    <phoneticPr fontId="3" type="noConversion"/>
  </si>
  <si>
    <t>发电</t>
    <phoneticPr fontId="3" type="noConversion"/>
  </si>
  <si>
    <t>generation of electricity</t>
    <phoneticPr fontId="3" type="noConversion"/>
  </si>
  <si>
    <t>加油站</t>
    <phoneticPr fontId="3" type="noConversion"/>
  </si>
  <si>
    <t>gas station</t>
    <phoneticPr fontId="3" type="noConversion"/>
  </si>
  <si>
    <t>大选普选</t>
    <phoneticPr fontId="3" type="noConversion"/>
  </si>
  <si>
    <t>general election</t>
    <phoneticPr fontId="3" type="noConversion"/>
  </si>
  <si>
    <t>普通英语</t>
    <phoneticPr fontId="3" type="noConversion"/>
  </si>
  <si>
    <t>general English</t>
    <phoneticPr fontId="3" type="noConversion"/>
  </si>
  <si>
    <t>普通英语练习</t>
    <phoneticPr fontId="3" type="noConversion"/>
  </si>
  <si>
    <t>general English practice</t>
    <phoneticPr fontId="3" type="noConversion"/>
  </si>
  <si>
    <t>总体健康</t>
    <phoneticPr fontId="3" type="noConversion"/>
  </si>
  <si>
    <t>general health</t>
    <phoneticPr fontId="3" type="noConversion"/>
  </si>
  <si>
    <t>综合观点</t>
    <phoneticPr fontId="3" type="noConversion"/>
  </si>
  <si>
    <t>general ideas</t>
    <phoneticPr fontId="3" type="noConversion"/>
  </si>
  <si>
    <t>常规方法</t>
    <phoneticPr fontId="3" type="noConversion"/>
  </si>
  <si>
    <t>general method</t>
    <phoneticPr fontId="3" type="noConversion"/>
  </si>
  <si>
    <t>大众科学</t>
    <phoneticPr fontId="3" type="noConversion"/>
  </si>
  <si>
    <t>general science</t>
    <phoneticPr fontId="3" type="noConversion"/>
  </si>
  <si>
    <t>地理考察</t>
    <phoneticPr fontId="3" type="noConversion"/>
  </si>
  <si>
    <t>geography trip</t>
    <phoneticPr fontId="3" type="noConversion"/>
  </si>
  <si>
    <t>地理位置</t>
    <phoneticPr fontId="3" type="noConversion"/>
  </si>
  <si>
    <t>geographic location</t>
    <phoneticPr fontId="3" type="noConversion"/>
  </si>
  <si>
    <t>地理的价值</t>
    <phoneticPr fontId="3" type="noConversion"/>
  </si>
  <si>
    <t>geographical value</t>
    <phoneticPr fontId="3" type="noConversion"/>
  </si>
  <si>
    <t>解雇</t>
    <phoneticPr fontId="3" type="noConversion"/>
  </si>
  <si>
    <t>give somebody a sack</t>
    <phoneticPr fontId="3" type="noConversion"/>
  </si>
  <si>
    <t>given name</t>
    <phoneticPr fontId="3" type="noConversion"/>
  </si>
  <si>
    <t>开药方</t>
    <phoneticPr fontId="3" type="noConversion"/>
  </si>
  <si>
    <t>give a prescription</t>
    <phoneticPr fontId="3" type="noConversion"/>
  </si>
  <si>
    <t>放弃</t>
    <phoneticPr fontId="3" type="noConversion"/>
  </si>
  <si>
    <t>give up</t>
    <phoneticPr fontId="3" type="noConversion"/>
  </si>
  <si>
    <t>give a speech</t>
    <phoneticPr fontId="3" type="noConversion"/>
  </si>
  <si>
    <t>发出确认信</t>
    <phoneticPr fontId="3" type="noConversion"/>
  </si>
  <si>
    <t>give confirmation</t>
    <phoneticPr fontId="3" type="noConversion"/>
  </si>
  <si>
    <t>获得反馈</t>
    <phoneticPr fontId="3" type="noConversion"/>
  </si>
  <si>
    <t>get feedback</t>
    <phoneticPr fontId="3" type="noConversion"/>
  </si>
  <si>
    <t>指导手册</t>
    <phoneticPr fontId="3" type="noConversion"/>
  </si>
  <si>
    <t>guide book</t>
    <phoneticPr fontId="3" type="noConversion"/>
  </si>
  <si>
    <t>有导游带领的旅行</t>
    <phoneticPr fontId="3" type="noConversion"/>
  </si>
  <si>
    <t>guided tour</t>
    <phoneticPr fontId="3" type="noConversion"/>
  </si>
  <si>
    <t>去医院看病</t>
    <phoneticPr fontId="3" type="noConversion"/>
  </si>
  <si>
    <t>go to hospital</t>
    <phoneticPr fontId="3" type="noConversion"/>
  </si>
  <si>
    <t>整体听力</t>
    <phoneticPr fontId="3" type="noConversion"/>
  </si>
  <si>
    <t>global listening</t>
    <phoneticPr fontId="3" type="noConversion"/>
  </si>
  <si>
    <t>全球变暖</t>
    <phoneticPr fontId="3" type="noConversion"/>
  </si>
  <si>
    <t>global warming</t>
    <phoneticPr fontId="3" type="noConversion"/>
  </si>
  <si>
    <t>金牌</t>
    <phoneticPr fontId="3" type="noConversion"/>
  </si>
  <si>
    <t>gold medal</t>
    <phoneticPr fontId="3" type="noConversion"/>
  </si>
  <si>
    <t>金色大街</t>
    <phoneticPr fontId="3" type="noConversion"/>
  </si>
  <si>
    <t>Gold Street</t>
    <phoneticPr fontId="3" type="noConversion"/>
  </si>
  <si>
    <t>高尔夫俱乐部</t>
    <phoneticPr fontId="3" type="noConversion"/>
  </si>
  <si>
    <t>Golf Club</t>
    <phoneticPr fontId="3" type="noConversion"/>
  </si>
  <si>
    <t>视力好</t>
    <phoneticPr fontId="3" type="noConversion"/>
  </si>
  <si>
    <t>good eyesight</t>
    <phoneticPr fontId="3" type="noConversion"/>
  </si>
  <si>
    <t>运动鞋</t>
    <phoneticPr fontId="3" type="noConversion"/>
  </si>
  <si>
    <t>good shoes</t>
    <phoneticPr fontId="3" type="noConversion"/>
  </si>
  <si>
    <t>方便操纵</t>
    <phoneticPr fontId="3" type="noConversion"/>
  </si>
  <si>
    <t>good steering</t>
    <phoneticPr fontId="3" type="noConversion"/>
  </si>
  <si>
    <t>goodbye party</t>
    <phoneticPr fontId="3" type="noConversion"/>
  </si>
  <si>
    <t>政府政策</t>
    <phoneticPr fontId="3" type="noConversion"/>
  </si>
  <si>
    <t>government policy</t>
    <phoneticPr fontId="3" type="noConversion"/>
  </si>
  <si>
    <t>政府资助的</t>
    <phoneticPr fontId="3" type="noConversion"/>
  </si>
  <si>
    <t>government funded</t>
    <phoneticPr fontId="3" type="noConversion"/>
  </si>
  <si>
    <t>抓住关键词</t>
    <phoneticPr fontId="3" type="noConversion"/>
  </si>
  <si>
    <t>grasp keywords</t>
    <phoneticPr fontId="3" type="noConversion"/>
  </si>
  <si>
    <t>研究生院</t>
    <phoneticPr fontId="3" type="noConversion"/>
  </si>
  <si>
    <t>graduate school</t>
    <phoneticPr fontId="3" type="noConversion"/>
  </si>
  <si>
    <t>毕业典礼请柬</t>
    <phoneticPr fontId="3" type="noConversion"/>
  </si>
  <si>
    <t>graduation announcements</t>
    <phoneticPr fontId="3" type="noConversion"/>
  </si>
  <si>
    <t>木材的花纹</t>
    <phoneticPr fontId="3" type="noConversion"/>
  </si>
  <si>
    <t>grain pattern of timber</t>
    <phoneticPr fontId="3" type="noConversion"/>
  </si>
  <si>
    <t>图案</t>
    <phoneticPr fontId="3" type="noConversion"/>
  </si>
  <si>
    <t>grain pattern</t>
    <phoneticPr fontId="3" type="noConversion"/>
  </si>
  <si>
    <t>最喜爱的</t>
    <phoneticPr fontId="3" type="noConversion"/>
  </si>
  <si>
    <t>great favourites</t>
    <phoneticPr fontId="3" type="noConversion"/>
  </si>
  <si>
    <t>底层，一楼英式</t>
    <phoneticPr fontId="3" type="noConversion"/>
  </si>
  <si>
    <t>ground floor</t>
    <phoneticPr fontId="3" type="noConversion"/>
  </si>
  <si>
    <t>可回收垃圾</t>
    <phoneticPr fontId="3" type="noConversion"/>
  </si>
  <si>
    <t>green waste</t>
    <phoneticPr fontId="3" type="noConversion"/>
  </si>
  <si>
    <t>灰狗巴士</t>
    <phoneticPr fontId="3" type="noConversion"/>
  </si>
  <si>
    <t>greyhound bus</t>
    <phoneticPr fontId="3" type="noConversion"/>
  </si>
  <si>
    <t>小组讨论</t>
    <phoneticPr fontId="3" type="noConversion"/>
  </si>
  <si>
    <t>group discussion</t>
    <phoneticPr fontId="3" type="noConversion"/>
  </si>
  <si>
    <t>健身房会员</t>
    <phoneticPr fontId="3" type="noConversion"/>
  </si>
  <si>
    <t>gym membership</t>
    <phoneticPr fontId="3" type="noConversion"/>
  </si>
  <si>
    <t>母鸡</t>
    <phoneticPr fontId="3" type="noConversion"/>
  </si>
  <si>
    <t>hens</t>
    <phoneticPr fontId="3" type="noConversion"/>
  </si>
  <si>
    <t>大风</t>
    <phoneticPr fontId="3" type="noConversion"/>
  </si>
  <si>
    <t>high wind</t>
    <phoneticPr fontId="3" type="noConversion"/>
  </si>
  <si>
    <t>半人</t>
    <phoneticPr fontId="3" type="noConversion"/>
  </si>
  <si>
    <t>half human</t>
    <phoneticPr fontId="3" type="noConversion"/>
  </si>
  <si>
    <t>学期中</t>
    <phoneticPr fontId="3" type="noConversion"/>
  </si>
  <si>
    <t>half term</t>
    <phoneticPr fontId="3" type="noConversion"/>
  </si>
  <si>
    <t>硬蹄动物</t>
    <phoneticPr fontId="3" type="noConversion"/>
  </si>
  <si>
    <t>hard-hoofed animals</t>
    <phoneticPr fontId="3" type="noConversion"/>
  </si>
  <si>
    <t>英国学生宿舍</t>
    <phoneticPr fontId="3" type="noConversion"/>
  </si>
  <si>
    <t>hall of residence</t>
    <phoneticPr fontId="3" type="noConversion"/>
  </si>
  <si>
    <t>halls of residence</t>
    <phoneticPr fontId="3" type="noConversion"/>
  </si>
  <si>
    <t>手提式灭火器</t>
    <phoneticPr fontId="3" type="noConversion"/>
  </si>
  <si>
    <t>hand pump</t>
    <phoneticPr fontId="3" type="noConversion"/>
  </si>
  <si>
    <t>指针坏了</t>
    <phoneticPr fontId="3" type="noConversion"/>
  </si>
  <si>
    <t>hands broken</t>
    <phoneticPr fontId="3" type="noConversion"/>
  </si>
  <si>
    <t>拥有…权利，接近</t>
    <phoneticPr fontId="3" type="noConversion"/>
  </si>
  <si>
    <t>have access to</t>
    <phoneticPr fontId="3" type="noConversion"/>
  </si>
  <si>
    <t>有害昆虫</t>
    <phoneticPr fontId="3" type="noConversion"/>
  </si>
  <si>
    <t>harmful insects</t>
    <phoneticPr fontId="3" type="noConversion"/>
  </si>
  <si>
    <t>对人类有害</t>
    <phoneticPr fontId="3" type="noConversion"/>
  </si>
  <si>
    <t>harmful to humans</t>
    <phoneticPr fontId="3" type="noConversion"/>
  </si>
  <si>
    <t>心肺功能良好</t>
    <phoneticPr fontId="3" type="noConversion"/>
  </si>
  <si>
    <t>have strong hearts and lungs</t>
    <phoneticPr fontId="3" type="noConversion"/>
  </si>
  <si>
    <t>动手术</t>
    <phoneticPr fontId="3" type="noConversion"/>
  </si>
  <si>
    <t>have an operation</t>
    <phoneticPr fontId="3" type="noConversion"/>
  </si>
  <si>
    <t>地理级别高</t>
    <phoneticPr fontId="3" type="noConversion"/>
  </si>
  <si>
    <t>have high rank in geography</t>
    <phoneticPr fontId="3" type="noConversion"/>
  </si>
  <si>
    <t>经济实力雄厚</t>
    <phoneticPr fontId="3" type="noConversion"/>
  </si>
  <si>
    <t>have strong financial muscles</t>
    <phoneticPr fontId="3" type="noConversion"/>
  </si>
  <si>
    <t>咨询处</t>
    <phoneticPr fontId="3" type="noConversion"/>
  </si>
  <si>
    <t>help desk</t>
    <phoneticPr fontId="3" type="noConversion"/>
  </si>
  <si>
    <t>高中以下学校校长</t>
    <phoneticPr fontId="3" type="noConversion"/>
  </si>
  <si>
    <t>headmaster</t>
    <phoneticPr fontId="3" type="noConversion"/>
  </si>
  <si>
    <t>总部</t>
    <phoneticPr fontId="3" type="noConversion"/>
  </si>
  <si>
    <t>head office</t>
    <phoneticPr fontId="3" type="noConversion"/>
  </si>
  <si>
    <t>健康护理</t>
    <phoneticPr fontId="3" type="noConversion"/>
  </si>
  <si>
    <t>healthcare</t>
    <phoneticPr fontId="3" type="noConversion"/>
  </si>
  <si>
    <t>体检</t>
    <phoneticPr fontId="3" type="noConversion"/>
  </si>
  <si>
    <t>health check</t>
    <phoneticPr fontId="3" type="noConversion"/>
  </si>
  <si>
    <t>health club</t>
    <phoneticPr fontId="3" type="noConversion"/>
  </si>
  <si>
    <t>心脏病</t>
    <phoneticPr fontId="3" type="noConversion"/>
  </si>
  <si>
    <t>heart attack</t>
    <phoneticPr fontId="3" type="noConversion"/>
  </si>
  <si>
    <t>心跳</t>
    <phoneticPr fontId="3" type="noConversion"/>
  </si>
  <si>
    <t>heartbeats</t>
    <phoneticPr fontId="3" type="noConversion"/>
  </si>
  <si>
    <t>heart disease</t>
    <phoneticPr fontId="3" type="noConversion"/>
  </si>
  <si>
    <t>热度指示</t>
    <phoneticPr fontId="3" type="noConversion"/>
  </si>
  <si>
    <t>heat indicator</t>
    <phoneticPr fontId="3" type="noConversion"/>
  </si>
  <si>
    <t>马毛</t>
    <phoneticPr fontId="3" type="noConversion"/>
  </si>
  <si>
    <t>horse hair</t>
    <phoneticPr fontId="3" type="noConversion"/>
  </si>
  <si>
    <t>骑马</t>
    <phoneticPr fontId="3" type="noConversion"/>
  </si>
  <si>
    <t>horse riding</t>
    <phoneticPr fontId="3" type="noConversion"/>
  </si>
  <si>
    <t>草药茶</t>
    <phoneticPr fontId="3" type="noConversion"/>
  </si>
  <si>
    <t>herb tea</t>
    <phoneticPr fontId="3" type="noConversion"/>
  </si>
  <si>
    <t>牲畜</t>
    <phoneticPr fontId="3" type="noConversion"/>
  </si>
  <si>
    <t>herd of cattle</t>
    <phoneticPr fontId="3" type="noConversion"/>
  </si>
  <si>
    <t>接待家庭</t>
    <phoneticPr fontId="3" type="noConversion"/>
  </si>
  <si>
    <t>host family</t>
    <phoneticPr fontId="3" type="noConversion"/>
  </si>
  <si>
    <t>高级</t>
    <phoneticPr fontId="3" type="noConversion"/>
  </si>
  <si>
    <t>high rank</t>
    <phoneticPr fontId="3" type="noConversion"/>
  </si>
  <si>
    <t>高度受训的员工</t>
    <phoneticPr fontId="3" type="noConversion"/>
  </si>
  <si>
    <t>highly-trained staff</t>
    <phoneticPr fontId="3" type="noConversion"/>
  </si>
  <si>
    <t>高等教育</t>
    <phoneticPr fontId="3" type="noConversion"/>
  </si>
  <si>
    <t>higher education</t>
    <phoneticPr fontId="3" type="noConversion"/>
  </si>
  <si>
    <t>高层建筑</t>
    <phoneticPr fontId="3" type="noConversion"/>
  </si>
  <si>
    <t>high-rise buildings</t>
    <phoneticPr fontId="3" type="noConversion"/>
  </si>
  <si>
    <t>高质量相机</t>
    <phoneticPr fontId="3" type="noConversion"/>
  </si>
  <si>
    <t>high-quality camera</t>
    <phoneticPr fontId="3" type="noConversion"/>
  </si>
  <si>
    <t>蜜月套房</t>
    <phoneticPr fontId="3" type="noConversion"/>
  </si>
  <si>
    <t>honeymoon suite</t>
    <phoneticPr fontId="3" type="noConversion"/>
  </si>
  <si>
    <t>历史博物馆</t>
    <phoneticPr fontId="3" type="noConversion"/>
  </si>
  <si>
    <t>historical museum</t>
    <phoneticPr fontId="3" type="noConversion"/>
  </si>
  <si>
    <t>学校历史</t>
    <phoneticPr fontId="3" type="noConversion"/>
  </si>
  <si>
    <t>history of school</t>
    <phoneticPr fontId="3" type="noConversion"/>
  </si>
  <si>
    <t>历史地图</t>
    <phoneticPr fontId="3" type="noConversion"/>
  </si>
  <si>
    <t>historical maps</t>
    <phoneticPr fontId="3" type="noConversion"/>
  </si>
  <si>
    <t>恐怖片</t>
    <phoneticPr fontId="3" type="noConversion"/>
  </si>
  <si>
    <t>horror film</t>
    <phoneticPr fontId="3" type="noConversion"/>
  </si>
  <si>
    <t>热狗</t>
    <phoneticPr fontId="3" type="noConversion"/>
  </si>
  <si>
    <t>hot dog</t>
    <phoneticPr fontId="3" type="noConversion"/>
  </si>
  <si>
    <t>热饭</t>
    <phoneticPr fontId="3" type="noConversion"/>
  </si>
  <si>
    <t>hot meal</t>
    <phoneticPr fontId="3" type="noConversion"/>
  </si>
  <si>
    <t>温室效应</t>
    <phoneticPr fontId="3" type="noConversion"/>
  </si>
  <si>
    <t>hothouse effect</t>
    <phoneticPr fontId="3" type="noConversion"/>
  </si>
  <si>
    <t>Chapter5 Test Paper 6</t>
    <phoneticPr fontId="3" type="noConversion"/>
  </si>
  <si>
    <t>酒店犯罪</t>
    <phoneticPr fontId="3" type="noConversion"/>
  </si>
  <si>
    <t>hotel crime</t>
    <phoneticPr fontId="3" type="noConversion"/>
  </si>
  <si>
    <t>寻找</t>
    <phoneticPr fontId="3" type="noConversion"/>
  </si>
  <si>
    <t>hunt for</t>
    <phoneticPr fontId="3" type="noConversion"/>
  </si>
  <si>
    <t>房屋财产险</t>
    <phoneticPr fontId="3" type="noConversion"/>
  </si>
  <si>
    <t>house insurance</t>
    <phoneticPr fontId="3" type="noConversion"/>
  </si>
  <si>
    <t>house key</t>
    <phoneticPr fontId="3" type="noConversion"/>
  </si>
  <si>
    <t>房屋中介</t>
    <phoneticPr fontId="3" type="noConversion"/>
  </si>
  <si>
    <t>housing agency</t>
    <phoneticPr fontId="3" type="noConversion"/>
  </si>
  <si>
    <t>人类</t>
    <phoneticPr fontId="3" type="noConversion"/>
  </si>
  <si>
    <t>human beings</t>
    <phoneticPr fontId="3" type="noConversion"/>
  </si>
  <si>
    <t>人类消费</t>
    <phoneticPr fontId="3" type="noConversion"/>
  </si>
  <si>
    <t>human consumption</t>
    <phoneticPr fontId="3" type="noConversion"/>
  </si>
  <si>
    <t>human race</t>
    <phoneticPr fontId="3" type="noConversion"/>
  </si>
  <si>
    <t>人力资源</t>
    <phoneticPr fontId="3" type="noConversion"/>
  </si>
  <si>
    <t>human resources</t>
    <phoneticPr fontId="3" type="noConversion"/>
  </si>
  <si>
    <t>冰壶运动</t>
    <phoneticPr fontId="3" type="noConversion"/>
  </si>
  <si>
    <t>ice curling</t>
    <phoneticPr fontId="3" type="noConversion"/>
  </si>
  <si>
    <t>冰袋</t>
    <phoneticPr fontId="3" type="noConversion"/>
  </si>
  <si>
    <t>ice pack</t>
    <phoneticPr fontId="3" type="noConversion"/>
  </si>
  <si>
    <t>滑冰</t>
    <phoneticPr fontId="3" type="noConversion"/>
  </si>
  <si>
    <t>ice skating</t>
    <phoneticPr fontId="3" type="noConversion"/>
  </si>
  <si>
    <t>身份</t>
    <phoneticPr fontId="3" type="noConversion"/>
  </si>
  <si>
    <t>identities</t>
    <phoneticPr fontId="3" type="noConversion"/>
  </si>
  <si>
    <t>身份证</t>
    <phoneticPr fontId="3" type="noConversion"/>
  </si>
  <si>
    <t>identity card</t>
    <phoneticPr fontId="3" type="noConversion"/>
  </si>
  <si>
    <t>非法利润</t>
    <phoneticPr fontId="3" type="noConversion"/>
  </si>
  <si>
    <t>illegal profits</t>
    <phoneticPr fontId="3" type="noConversion"/>
  </si>
  <si>
    <t>在视野范围内</t>
    <phoneticPr fontId="3" type="noConversion"/>
  </si>
  <si>
    <t>in visible view</t>
    <phoneticPr fontId="3" type="noConversion"/>
  </si>
  <si>
    <t>免疫系统</t>
    <phoneticPr fontId="3" type="noConversion"/>
  </si>
  <si>
    <t>immune system</t>
    <phoneticPr fontId="3" type="noConversion"/>
  </si>
  <si>
    <t>in advance</t>
    <phoneticPr fontId="3" type="noConversion"/>
  </si>
  <si>
    <t>在化学实验室</t>
    <phoneticPr fontId="3" type="noConversion"/>
  </si>
  <si>
    <t>in chemistry lab</t>
    <phoneticPr fontId="3" type="noConversion"/>
  </si>
  <si>
    <t>在剧场中圆形的位置</t>
    <phoneticPr fontId="3" type="noConversion"/>
  </si>
  <si>
    <t>in circles</t>
    <phoneticPr fontId="3" type="noConversion"/>
  </si>
  <si>
    <t>在流通的</t>
    <phoneticPr fontId="3" type="noConversion"/>
  </si>
  <si>
    <t>in circulation</t>
    <phoneticPr fontId="3" type="noConversion"/>
  </si>
  <si>
    <t>印度洋</t>
    <phoneticPr fontId="3" type="noConversion"/>
  </si>
  <si>
    <t>Indian ocean</t>
    <phoneticPr fontId="3" type="noConversion"/>
  </si>
  <si>
    <t>打入的电话</t>
    <phoneticPr fontId="3" type="noConversion"/>
  </si>
  <si>
    <t>incoming calls</t>
    <phoneticPr fontId="3" type="noConversion"/>
  </si>
  <si>
    <t>美国独立纪念日</t>
    <phoneticPr fontId="3" type="noConversion"/>
  </si>
  <si>
    <t>Independence Day</t>
    <phoneticPr fontId="3" type="noConversion"/>
  </si>
  <si>
    <t>工业材料</t>
    <phoneticPr fontId="3" type="noConversion"/>
  </si>
  <si>
    <t>industrial material</t>
    <phoneticPr fontId="3" type="noConversion"/>
  </si>
  <si>
    <t>information board</t>
    <phoneticPr fontId="3" type="noConversion"/>
  </si>
  <si>
    <t>介绍内容的录像</t>
    <phoneticPr fontId="3" type="noConversion"/>
  </si>
  <si>
    <t>information video</t>
    <phoneticPr fontId="3" type="noConversion"/>
  </si>
  <si>
    <t>咨询台</t>
    <phoneticPr fontId="3" type="noConversion"/>
  </si>
  <si>
    <t>information desk</t>
    <phoneticPr fontId="3" type="noConversion"/>
  </si>
  <si>
    <t>信息页</t>
    <phoneticPr fontId="3" type="noConversion"/>
  </si>
  <si>
    <t>information page</t>
    <phoneticPr fontId="3" type="noConversion"/>
  </si>
  <si>
    <t>信息部门</t>
    <phoneticPr fontId="3" type="noConversion"/>
  </si>
  <si>
    <t>information sector</t>
    <phoneticPr fontId="3" type="noConversion"/>
  </si>
  <si>
    <t>内陆地区</t>
    <phoneticPr fontId="3" type="noConversion"/>
  </si>
  <si>
    <t>inland region</t>
    <phoneticPr fontId="3" type="noConversion"/>
  </si>
  <si>
    <t>最初的迁移</t>
    <phoneticPr fontId="3" type="noConversion"/>
  </si>
  <si>
    <t>initial migration</t>
    <phoneticPr fontId="3" type="noConversion"/>
  </si>
  <si>
    <t>疫苗注射</t>
    <phoneticPr fontId="3" type="noConversion"/>
  </si>
  <si>
    <t>injection of vaccine</t>
    <phoneticPr fontId="3" type="noConversion"/>
  </si>
  <si>
    <t>机构</t>
    <phoneticPr fontId="3" type="noConversion"/>
  </si>
  <si>
    <t>institutes</t>
    <phoneticPr fontId="3" type="noConversion"/>
  </si>
  <si>
    <t>institutions</t>
    <phoneticPr fontId="3" type="noConversion"/>
  </si>
  <si>
    <t>闹昆虫</t>
    <phoneticPr fontId="3" type="noConversion"/>
  </si>
  <si>
    <t>insects haunting</t>
    <phoneticPr fontId="3" type="noConversion"/>
  </si>
  <si>
    <t>教练</t>
    <phoneticPr fontId="3" type="noConversion"/>
  </si>
  <si>
    <t>instructors</t>
    <phoneticPr fontId="3" type="noConversion"/>
  </si>
  <si>
    <t>手册中的要求</t>
    <phoneticPr fontId="3" type="noConversion"/>
  </si>
  <si>
    <t>instruction of handbook</t>
    <phoneticPr fontId="3" type="noConversion"/>
  </si>
  <si>
    <t>速溶咖啡</t>
    <phoneticPr fontId="3" type="noConversion"/>
  </si>
  <si>
    <t>instant coffee</t>
    <phoneticPr fontId="3" type="noConversion"/>
  </si>
  <si>
    <t>人际交往能力</t>
    <phoneticPr fontId="3" type="noConversion"/>
  </si>
  <si>
    <t>interpersonal skills</t>
    <phoneticPr fontId="3" type="noConversion"/>
  </si>
  <si>
    <t>保险公司</t>
    <phoneticPr fontId="3" type="noConversion"/>
  </si>
  <si>
    <t>insurance companies</t>
    <phoneticPr fontId="3" type="noConversion"/>
  </si>
  <si>
    <t>insurance company</t>
    <phoneticPr fontId="3" type="noConversion"/>
  </si>
  <si>
    <t>强化课</t>
    <phoneticPr fontId="3" type="noConversion"/>
  </si>
  <si>
    <t>intensive course</t>
    <phoneticPr fontId="3" type="noConversion"/>
  </si>
  <si>
    <t>集中学习</t>
    <phoneticPr fontId="3" type="noConversion"/>
  </si>
  <si>
    <t>intensive study</t>
    <phoneticPr fontId="3" type="noConversion"/>
  </si>
  <si>
    <t>图书馆服务</t>
    <phoneticPr fontId="3" type="noConversion"/>
  </si>
  <si>
    <t>interlibrary service</t>
    <phoneticPr fontId="3" type="noConversion"/>
  </si>
  <si>
    <t>中级课程</t>
    <phoneticPr fontId="3" type="noConversion"/>
  </si>
  <si>
    <t>intermediate course</t>
    <phoneticPr fontId="3" type="noConversion"/>
  </si>
  <si>
    <t>internal clock</t>
    <phoneticPr fontId="3" type="noConversion"/>
  </si>
  <si>
    <t>国际俱乐部</t>
    <phoneticPr fontId="3" type="noConversion"/>
  </si>
  <si>
    <t>international club</t>
    <phoneticPr fontId="3" type="noConversion"/>
  </si>
  <si>
    <t>国际学生晚会</t>
    <phoneticPr fontId="3" type="noConversion"/>
  </si>
  <si>
    <t>international evening</t>
    <phoneticPr fontId="3" type="noConversion"/>
  </si>
  <si>
    <t>国际学生证</t>
    <phoneticPr fontId="3" type="noConversion"/>
  </si>
  <si>
    <t>international student card</t>
    <phoneticPr fontId="3" type="noConversion"/>
  </si>
  <si>
    <t>国际学生</t>
    <phoneticPr fontId="3" type="noConversion"/>
  </si>
  <si>
    <t>international student</t>
    <phoneticPr fontId="3" type="noConversion"/>
  </si>
  <si>
    <t>互联网接口</t>
    <phoneticPr fontId="3" type="noConversion"/>
  </si>
  <si>
    <t>internet access</t>
    <phoneticPr fontId="3" type="noConversion"/>
  </si>
  <si>
    <t>网吧</t>
    <phoneticPr fontId="3" type="noConversion"/>
  </si>
  <si>
    <t>internet café</t>
    <phoneticPr fontId="3" type="noConversion"/>
  </si>
  <si>
    <t>互联网系统</t>
    <phoneticPr fontId="3" type="noConversion"/>
  </si>
  <si>
    <t>internet system</t>
    <phoneticPr fontId="3" type="noConversion"/>
  </si>
  <si>
    <t>调查者</t>
    <phoneticPr fontId="3" type="noConversion"/>
  </si>
  <si>
    <t>investigators</t>
    <phoneticPr fontId="3" type="noConversion"/>
  </si>
  <si>
    <t>水浇地</t>
    <phoneticPr fontId="3" type="noConversion"/>
  </si>
  <si>
    <t>irrigable land</t>
    <phoneticPr fontId="3" type="noConversion"/>
  </si>
  <si>
    <t>离市区远的地方</t>
    <phoneticPr fontId="3" type="noConversion"/>
  </si>
  <si>
    <t>isolated spot</t>
    <phoneticPr fontId="3" type="noConversion"/>
  </si>
  <si>
    <t>求职面试</t>
    <phoneticPr fontId="3" type="noConversion"/>
  </si>
  <si>
    <t>job interview</t>
    <phoneticPr fontId="3" type="noConversion"/>
  </si>
  <si>
    <t>下巴</t>
    <phoneticPr fontId="3" type="noConversion"/>
  </si>
  <si>
    <t>jaws</t>
    <phoneticPr fontId="3" type="noConversion"/>
  </si>
  <si>
    <t>联合会员资格</t>
    <phoneticPr fontId="3" type="noConversion"/>
  </si>
  <si>
    <t>joint membership</t>
    <phoneticPr fontId="3" type="noConversion"/>
  </si>
  <si>
    <t>看守的人</t>
    <phoneticPr fontId="3" type="noConversion"/>
  </si>
  <si>
    <t>keepers</t>
    <phoneticPr fontId="3" type="noConversion"/>
  </si>
  <si>
    <t>插队</t>
    <phoneticPr fontId="3" type="noConversion"/>
  </si>
  <si>
    <t>jump the queue</t>
    <phoneticPr fontId="3" type="noConversion"/>
  </si>
  <si>
    <t>jump the line</t>
    <phoneticPr fontId="3" type="noConversion"/>
  </si>
  <si>
    <t>杀人鲸</t>
    <phoneticPr fontId="3" type="noConversion"/>
  </si>
  <si>
    <t>killer whales</t>
    <phoneticPr fontId="3" type="noConversion"/>
  </si>
  <si>
    <t>武侠片</t>
    <phoneticPr fontId="3" type="noConversion"/>
  </si>
  <si>
    <t>Kungfu film</t>
    <phoneticPr fontId="3" type="noConversion"/>
  </si>
  <si>
    <t>成片海藻</t>
    <phoneticPr fontId="3" type="noConversion"/>
  </si>
  <si>
    <t>kelp forest</t>
    <phoneticPr fontId="3" type="noConversion"/>
  </si>
  <si>
    <t>主要方法</t>
    <phoneticPr fontId="3" type="noConversion"/>
  </si>
  <si>
    <t>key approach</t>
    <phoneticPr fontId="3" type="noConversion"/>
  </si>
  <si>
    <t>接待处钥匙</t>
    <phoneticPr fontId="3" type="noConversion"/>
  </si>
  <si>
    <t>key to reception</t>
    <phoneticPr fontId="3" type="noConversion"/>
  </si>
  <si>
    <t>关键词</t>
    <phoneticPr fontId="3" type="noConversion"/>
  </si>
  <si>
    <t>keywords</t>
    <phoneticPr fontId="3" type="noConversion"/>
  </si>
  <si>
    <t>kick sb out of work</t>
    <phoneticPr fontId="3" type="noConversion"/>
  </si>
  <si>
    <t>大床</t>
    <phoneticPr fontId="3" type="noConversion"/>
  </si>
  <si>
    <t>king-sized bed</t>
    <phoneticPr fontId="3" type="noConversion"/>
  </si>
  <si>
    <t>国王套房</t>
    <phoneticPr fontId="3" type="noConversion"/>
  </si>
  <si>
    <t>King's suite</t>
    <phoneticPr fontId="3" type="noConversion"/>
  </si>
  <si>
    <t>小刀</t>
    <phoneticPr fontId="3" type="noConversion"/>
  </si>
  <si>
    <t>knives</t>
    <phoneticPr fontId="3" type="noConversion"/>
  </si>
  <si>
    <t>餐桌</t>
    <phoneticPr fontId="3" type="noConversion"/>
  </si>
  <si>
    <t>kitchen table</t>
    <phoneticPr fontId="3" type="noConversion"/>
  </si>
  <si>
    <t>厨房器皿</t>
    <phoneticPr fontId="3" type="noConversion"/>
  </si>
  <si>
    <t>kitchen utensils</t>
    <phoneticPr fontId="3" type="noConversion"/>
  </si>
  <si>
    <t>灯</t>
    <phoneticPr fontId="3" type="noConversion"/>
  </si>
  <si>
    <t>lamps</t>
    <phoneticPr fontId="3" type="noConversion"/>
  </si>
  <si>
    <t>听力原文</t>
    <phoneticPr fontId="3" type="noConversion"/>
  </si>
  <si>
    <t>listening tapescript</t>
    <phoneticPr fontId="3" type="noConversion"/>
  </si>
  <si>
    <t>实验器材</t>
    <phoneticPr fontId="3" type="noConversion"/>
  </si>
  <si>
    <t>lab equipment</t>
    <phoneticPr fontId="3" type="noConversion"/>
  </si>
  <si>
    <t>缺乏自信</t>
    <phoneticPr fontId="3" type="noConversion"/>
  </si>
  <si>
    <t>lack confidence</t>
    <phoneticPr fontId="3" type="noConversion"/>
  </si>
  <si>
    <t>lack of confidence</t>
    <phoneticPr fontId="3" type="noConversion"/>
  </si>
  <si>
    <t>地标</t>
    <phoneticPr fontId="3" type="noConversion"/>
  </si>
  <si>
    <t>大型滑梯</t>
    <phoneticPr fontId="3" type="noConversion"/>
  </si>
  <si>
    <t>large slide</t>
    <phoneticPr fontId="3" type="noConversion"/>
  </si>
  <si>
    <t>大规模住房</t>
    <phoneticPr fontId="3" type="noConversion"/>
  </si>
  <si>
    <t>large-scale housing</t>
    <phoneticPr fontId="3" type="noConversion"/>
  </si>
  <si>
    <t>阶梯教师</t>
    <phoneticPr fontId="3" type="noConversion"/>
  </si>
  <si>
    <t>lecture hall</t>
    <phoneticPr fontId="3" type="noConversion"/>
  </si>
  <si>
    <t>激光打印</t>
    <phoneticPr fontId="3" type="noConversion"/>
  </si>
  <si>
    <t>laser printing</t>
    <phoneticPr fontId="3" type="noConversion"/>
  </si>
  <si>
    <t>最后的但也很重要的</t>
    <phoneticPr fontId="3" type="noConversion"/>
  </si>
  <si>
    <t>last but not least</t>
    <phoneticPr fontId="3" type="noConversion"/>
  </si>
  <si>
    <t>last name</t>
    <phoneticPr fontId="3" type="noConversion"/>
  </si>
  <si>
    <t>律师</t>
    <phoneticPr fontId="3" type="noConversion"/>
  </si>
  <si>
    <t>lawyers</t>
    <phoneticPr fontId="3" type="noConversion"/>
  </si>
  <si>
    <t>简历布局</t>
    <phoneticPr fontId="3" type="noConversion"/>
  </si>
  <si>
    <t>layout of resume</t>
    <phoneticPr fontId="3" type="noConversion"/>
  </si>
  <si>
    <t>学习策略</t>
    <phoneticPr fontId="3" type="noConversion"/>
  </si>
  <si>
    <t>learning strategies</t>
    <phoneticPr fontId="3" type="noConversion"/>
  </si>
  <si>
    <t>学习方式</t>
    <phoneticPr fontId="3" type="noConversion"/>
  </si>
  <si>
    <t>learning styles</t>
    <phoneticPr fontId="3" type="noConversion"/>
  </si>
  <si>
    <t>leisure wear</t>
    <phoneticPr fontId="3" type="noConversion"/>
  </si>
  <si>
    <t>休闲活动</t>
    <phoneticPr fontId="3" type="noConversion"/>
  </si>
  <si>
    <t>leisure activities</t>
    <phoneticPr fontId="3" type="noConversion"/>
  </si>
  <si>
    <t>成熟水平</t>
    <phoneticPr fontId="3" type="noConversion"/>
  </si>
  <si>
    <t>level of maturity</t>
    <phoneticPr fontId="3" type="noConversion"/>
  </si>
  <si>
    <t>柠檬树</t>
    <phoneticPr fontId="3" type="noConversion"/>
  </si>
  <si>
    <t>lemon tree</t>
    <phoneticPr fontId="3" type="noConversion"/>
  </si>
  <si>
    <t>推荐信</t>
    <phoneticPr fontId="3" type="noConversion"/>
  </si>
  <si>
    <t>letter of recommendation</t>
    <phoneticPr fontId="3" type="noConversion"/>
  </si>
  <si>
    <t>library card</t>
    <phoneticPr fontId="3" type="noConversion"/>
  </si>
  <si>
    <t>图书馆资源</t>
    <phoneticPr fontId="3" type="noConversion"/>
  </si>
  <si>
    <t>library resource</t>
    <phoneticPr fontId="3" type="noConversion"/>
  </si>
  <si>
    <t>生命科学</t>
    <phoneticPr fontId="3" type="noConversion"/>
  </si>
  <si>
    <t>life science</t>
    <phoneticPr fontId="3" type="noConversion"/>
  </si>
  <si>
    <t>生命周期</t>
    <phoneticPr fontId="3" type="noConversion"/>
  </si>
  <si>
    <t>life cycle</t>
    <phoneticPr fontId="3" type="noConversion"/>
  </si>
  <si>
    <t>预期寿命</t>
    <phoneticPr fontId="3" type="noConversion"/>
  </si>
  <si>
    <t>life expectancy</t>
    <phoneticPr fontId="3" type="noConversion"/>
  </si>
  <si>
    <t>寿险</t>
    <phoneticPr fontId="3" type="noConversion"/>
  </si>
  <si>
    <t>life insurance</t>
    <phoneticPr fontId="3" type="noConversion"/>
  </si>
  <si>
    <t>lights</t>
    <phoneticPr fontId="3" type="noConversion"/>
  </si>
  <si>
    <t>关于</t>
    <phoneticPr fontId="3" type="noConversion"/>
  </si>
  <si>
    <t>link to</t>
    <phoneticPr fontId="3" type="noConversion"/>
  </si>
  <si>
    <t>文艺片</t>
    <phoneticPr fontId="3" type="noConversion"/>
  </si>
  <si>
    <t>literary film</t>
    <phoneticPr fontId="3" type="noConversion"/>
  </si>
  <si>
    <t>标题列表</t>
    <phoneticPr fontId="3" type="noConversion"/>
  </si>
  <si>
    <t>list of headings</t>
    <phoneticPr fontId="3" type="noConversion"/>
  </si>
  <si>
    <t>列出本文目的</t>
    <phoneticPr fontId="3" type="noConversion"/>
  </si>
  <si>
    <t>list of objectives</t>
    <phoneticPr fontId="3" type="noConversion"/>
  </si>
  <si>
    <t>阶梯教室</t>
    <phoneticPr fontId="3" type="noConversion"/>
  </si>
  <si>
    <t>lecture theatre</t>
    <phoneticPr fontId="3" type="noConversion"/>
  </si>
  <si>
    <t xml:space="preserve">Chapter5 Test Paper 7	</t>
    <phoneticPr fontId="3" type="noConversion"/>
  </si>
  <si>
    <t>living cost</t>
    <phoneticPr fontId="3" type="noConversion"/>
  </si>
  <si>
    <t>生活费</t>
    <phoneticPr fontId="3" type="noConversion"/>
  </si>
  <si>
    <t>living expenses</t>
    <phoneticPr fontId="3" type="noConversion"/>
  </si>
  <si>
    <t>贷款</t>
    <phoneticPr fontId="3" type="noConversion"/>
  </si>
  <si>
    <t>loans</t>
    <phoneticPr fontId="3" type="noConversion"/>
  </si>
  <si>
    <t>当地徒步俱乐部</t>
    <phoneticPr fontId="3" type="noConversion"/>
  </si>
  <si>
    <t>local walking club</t>
    <phoneticPr fontId="3" type="noConversion"/>
  </si>
  <si>
    <t>当地历史</t>
    <phoneticPr fontId="3" type="noConversion"/>
  </si>
  <si>
    <t>local history</t>
    <phoneticPr fontId="3" type="noConversion"/>
  </si>
  <si>
    <t>当地工业</t>
    <phoneticPr fontId="3" type="noConversion"/>
  </si>
  <si>
    <t>local industry</t>
    <phoneticPr fontId="3" type="noConversion"/>
  </si>
  <si>
    <t>当地宠物店</t>
    <phoneticPr fontId="3" type="noConversion"/>
  </si>
  <si>
    <t>local pet shop</t>
    <phoneticPr fontId="3" type="noConversion"/>
  </si>
  <si>
    <t>当地产品</t>
    <phoneticPr fontId="3" type="noConversion"/>
  </si>
  <si>
    <t>local product</t>
    <phoneticPr fontId="3" type="noConversion"/>
  </si>
  <si>
    <t>当地居民</t>
    <phoneticPr fontId="3" type="noConversion"/>
  </si>
  <si>
    <t>local resident</t>
    <phoneticPr fontId="3" type="noConversion"/>
  </si>
  <si>
    <t>当地学校</t>
    <phoneticPr fontId="3" type="noConversion"/>
  </si>
  <si>
    <t>local school</t>
    <phoneticPr fontId="3" type="noConversion"/>
  </si>
  <si>
    <t>当地商店</t>
    <phoneticPr fontId="3" type="noConversion"/>
  </si>
  <si>
    <t>local shop</t>
    <phoneticPr fontId="3" type="noConversion"/>
  </si>
  <si>
    <t>local student</t>
    <phoneticPr fontId="3" type="noConversion"/>
  </si>
  <si>
    <t>当地部落</t>
    <phoneticPr fontId="3" type="noConversion"/>
  </si>
  <si>
    <t>local tribes</t>
    <phoneticPr fontId="3" type="noConversion"/>
  </si>
  <si>
    <t>观看景点</t>
    <phoneticPr fontId="3" type="noConversion"/>
  </si>
  <si>
    <t>lookout points</t>
    <phoneticPr fontId="3" type="noConversion"/>
  </si>
  <si>
    <t>锁上所有窗户</t>
    <phoneticPr fontId="3" type="noConversion"/>
  </si>
  <si>
    <t>lock all windows</t>
    <phoneticPr fontId="3" type="noConversion"/>
  </si>
  <si>
    <t>长期贷款</t>
    <phoneticPr fontId="3" type="noConversion"/>
  </si>
  <si>
    <t>long-term loan</t>
    <phoneticPr fontId="3" type="noConversion"/>
  </si>
  <si>
    <t>土壤流失</t>
    <phoneticPr fontId="3" type="noConversion"/>
  </si>
  <si>
    <t>loss of soil</t>
    <phoneticPr fontId="3" type="noConversion"/>
  </si>
  <si>
    <t>lose temper</t>
    <phoneticPr fontId="3" type="noConversion"/>
  </si>
  <si>
    <t>扬声器</t>
    <phoneticPr fontId="3" type="noConversion"/>
  </si>
  <si>
    <t>loudspeaker</t>
    <phoneticPr fontId="3" type="noConversion"/>
  </si>
  <si>
    <t>爱情片</t>
    <phoneticPr fontId="3" type="noConversion"/>
  </si>
  <si>
    <t>love story</t>
    <phoneticPr fontId="3" type="noConversion"/>
  </si>
  <si>
    <t>低营养</t>
    <phoneticPr fontId="3" type="noConversion"/>
  </si>
  <si>
    <t>low nutrition</t>
    <phoneticPr fontId="3" type="noConversion"/>
  </si>
  <si>
    <t>低频噪声</t>
    <phoneticPr fontId="3" type="noConversion"/>
  </si>
  <si>
    <t>low-frequency noise</t>
    <phoneticPr fontId="3" type="noConversion"/>
  </si>
  <si>
    <t>低收入</t>
    <phoneticPr fontId="3" type="noConversion"/>
  </si>
  <si>
    <t>low income</t>
    <phoneticPr fontId="3" type="noConversion"/>
  </si>
  <si>
    <t>杂志和期刊</t>
    <phoneticPr fontId="3" type="noConversion"/>
  </si>
  <si>
    <t>magazines and journals</t>
    <phoneticPr fontId="3" type="noConversion"/>
  </si>
  <si>
    <t>神奇的动物</t>
    <phoneticPr fontId="3" type="noConversion"/>
  </si>
  <si>
    <t>magical animals</t>
    <phoneticPr fontId="3" type="noConversion"/>
  </si>
  <si>
    <t>机器和机器人</t>
    <phoneticPr fontId="3" type="noConversion"/>
  </si>
  <si>
    <t>machines and robots</t>
    <phoneticPr fontId="3" type="noConversion"/>
  </si>
  <si>
    <t>武术的</t>
    <phoneticPr fontId="3" type="noConversion"/>
  </si>
  <si>
    <t>martial art</t>
    <phoneticPr fontId="3" type="noConversion"/>
  </si>
  <si>
    <t>女佣人</t>
    <phoneticPr fontId="3" type="noConversion"/>
  </si>
  <si>
    <t>maid servant</t>
    <phoneticPr fontId="3" type="noConversion"/>
  </si>
  <si>
    <t>邮件</t>
    <phoneticPr fontId="3" type="noConversion"/>
  </si>
  <si>
    <t>mails</t>
    <phoneticPr fontId="3" type="noConversion"/>
  </si>
  <si>
    <t>邮寄清单</t>
    <phoneticPr fontId="3" type="noConversion"/>
  </si>
  <si>
    <t>mailing list</t>
    <phoneticPr fontId="3" type="noConversion"/>
  </si>
  <si>
    <t>护理专业</t>
    <phoneticPr fontId="3" type="noConversion"/>
  </si>
  <si>
    <t>major in nursing</t>
    <phoneticPr fontId="3" type="noConversion"/>
  </si>
  <si>
    <t>主菜</t>
    <phoneticPr fontId="3" type="noConversion"/>
  </si>
  <si>
    <t>main course</t>
    <phoneticPr fontId="3" type="noConversion"/>
  </si>
  <si>
    <t>主入口</t>
    <phoneticPr fontId="3" type="noConversion"/>
  </si>
  <si>
    <t>main entrance</t>
    <phoneticPr fontId="3" type="noConversion"/>
  </si>
  <si>
    <t>主厅</t>
    <phoneticPr fontId="3" type="noConversion"/>
  </si>
  <si>
    <t>main hall</t>
    <phoneticPr fontId="3" type="noConversion"/>
  </si>
  <si>
    <t>主厨房</t>
    <phoneticPr fontId="3" type="noConversion"/>
  </si>
  <si>
    <t>main kitchen</t>
    <phoneticPr fontId="3" type="noConversion"/>
  </si>
  <si>
    <t>主要图书馆</t>
    <phoneticPr fontId="3" type="noConversion"/>
  </si>
  <si>
    <t>main library</t>
    <phoneticPr fontId="3" type="noConversion"/>
  </si>
  <si>
    <t>预约</t>
    <phoneticPr fontId="3" type="noConversion"/>
  </si>
  <si>
    <t>make an appointment</t>
    <phoneticPr fontId="3" type="noConversion"/>
  </si>
  <si>
    <t>制定计划</t>
    <phoneticPr fontId="3" type="noConversion"/>
  </si>
  <si>
    <t>make plans</t>
    <phoneticPr fontId="3" type="noConversion"/>
  </si>
  <si>
    <t>山洞的地图</t>
    <phoneticPr fontId="3" type="noConversion"/>
  </si>
  <si>
    <t>map of cave</t>
    <phoneticPr fontId="3" type="noConversion"/>
  </si>
  <si>
    <t>合理管理时间</t>
    <phoneticPr fontId="3" type="noConversion"/>
  </si>
  <si>
    <t>manage time better</t>
    <phoneticPr fontId="3" type="noConversion"/>
  </si>
  <si>
    <t>人造大坝</t>
    <phoneticPr fontId="3" type="noConversion"/>
  </si>
  <si>
    <t>manmade dam</t>
    <phoneticPr fontId="3" type="noConversion"/>
  </si>
  <si>
    <t>手工设施</t>
    <phoneticPr fontId="3" type="noConversion"/>
  </si>
  <si>
    <t>manual facilities</t>
    <phoneticPr fontId="3" type="noConversion"/>
  </si>
  <si>
    <t>市场调查</t>
    <phoneticPr fontId="3" type="noConversion"/>
  </si>
  <si>
    <t>market research</t>
    <phoneticPr fontId="3" type="noConversion"/>
  </si>
  <si>
    <t>市场周期</t>
    <phoneticPr fontId="3" type="noConversion"/>
  </si>
  <si>
    <t>market cycle</t>
    <phoneticPr fontId="3" type="noConversion"/>
  </si>
  <si>
    <t>市场经济</t>
    <phoneticPr fontId="3" type="noConversion"/>
  </si>
  <si>
    <t>market economy</t>
    <phoneticPr fontId="3" type="noConversion"/>
  </si>
  <si>
    <t>销售管理</t>
    <phoneticPr fontId="3" type="noConversion"/>
  </si>
  <si>
    <t>marketing management</t>
    <phoneticPr fontId="3" type="noConversion"/>
  </si>
  <si>
    <t>销售调研</t>
    <phoneticPr fontId="3" type="noConversion"/>
  </si>
  <si>
    <t>marketing research</t>
    <phoneticPr fontId="3" type="noConversion"/>
  </si>
  <si>
    <t>销售技巧</t>
    <phoneticPr fontId="3" type="noConversion"/>
  </si>
  <si>
    <t>marketing techniques</t>
    <phoneticPr fontId="3" type="noConversion"/>
  </si>
  <si>
    <t>市场营销研讨会</t>
    <phoneticPr fontId="3" type="noConversion"/>
  </si>
  <si>
    <t>marketing seminar</t>
    <phoneticPr fontId="3" type="noConversion"/>
  </si>
  <si>
    <t>营销策略</t>
    <phoneticPr fontId="3" type="noConversion"/>
  </si>
  <si>
    <t>marketing strategies</t>
    <phoneticPr fontId="3" type="noConversion"/>
  </si>
  <si>
    <t>大众传媒</t>
    <phoneticPr fontId="3" type="noConversion"/>
  </si>
  <si>
    <t>mass media</t>
    <phoneticPr fontId="3" type="noConversion"/>
  </si>
  <si>
    <t>mind map</t>
    <phoneticPr fontId="3" type="noConversion"/>
  </si>
  <si>
    <t>硕士学位</t>
    <phoneticPr fontId="3" type="noConversion"/>
  </si>
  <si>
    <t>Master's degree</t>
    <phoneticPr fontId="3" type="noConversion"/>
  </si>
  <si>
    <t>万事达信用卡</t>
    <phoneticPr fontId="3" type="noConversion"/>
  </si>
  <si>
    <t>Master Card</t>
    <phoneticPr fontId="3" type="noConversion"/>
  </si>
  <si>
    <t>肉类和奶酪</t>
    <phoneticPr fontId="3" type="noConversion"/>
  </si>
  <si>
    <t>meat and cheese</t>
    <phoneticPr fontId="3" type="noConversion"/>
  </si>
  <si>
    <t>数学公式</t>
    <phoneticPr fontId="3" type="noConversion"/>
  </si>
  <si>
    <t>mathematic formula</t>
    <phoneticPr fontId="3" type="noConversion"/>
  </si>
  <si>
    <t>mature students</t>
    <phoneticPr fontId="3" type="noConversion"/>
  </si>
  <si>
    <t>媒体研究</t>
    <phoneticPr fontId="3" type="noConversion"/>
  </si>
  <si>
    <t>media studies</t>
    <phoneticPr fontId="3" type="noConversion"/>
  </si>
  <si>
    <t>媒体中心</t>
    <phoneticPr fontId="3" type="noConversion"/>
  </si>
  <si>
    <t>media centre</t>
    <phoneticPr fontId="3" type="noConversion"/>
  </si>
  <si>
    <t>媒体房间</t>
    <phoneticPr fontId="3" type="noConversion"/>
  </si>
  <si>
    <t>media room</t>
    <phoneticPr fontId="3" type="noConversion"/>
  </si>
  <si>
    <t>医学</t>
    <phoneticPr fontId="3" type="noConversion"/>
  </si>
  <si>
    <t>medical science</t>
    <phoneticPr fontId="3" type="noConversion"/>
  </si>
  <si>
    <t>医疗中心</t>
    <phoneticPr fontId="3" type="noConversion"/>
  </si>
  <si>
    <t>medical centre</t>
    <phoneticPr fontId="3" type="noConversion"/>
  </si>
  <si>
    <t>病史</t>
    <phoneticPr fontId="3" type="noConversion"/>
  </si>
  <si>
    <t>medical history</t>
    <phoneticPr fontId="3" type="noConversion"/>
  </si>
  <si>
    <t>书单</t>
    <phoneticPr fontId="3" type="noConversion"/>
  </si>
  <si>
    <t>booklist</t>
    <phoneticPr fontId="3" type="noConversion"/>
  </si>
  <si>
    <t>会计顾问</t>
    <phoneticPr fontId="3" type="noConversion"/>
  </si>
  <si>
    <t>membership consultant</t>
    <phoneticPr fontId="3" type="noConversion"/>
  </si>
  <si>
    <t>俱乐部会员资格</t>
    <phoneticPr fontId="3" type="noConversion"/>
  </si>
  <si>
    <t>membership of a club</t>
    <phoneticPr fontId="3" type="noConversion"/>
  </si>
  <si>
    <t>精神能力</t>
    <phoneticPr fontId="3" type="noConversion"/>
  </si>
  <si>
    <t>mental ability</t>
    <phoneticPr fontId="3" type="noConversion"/>
  </si>
  <si>
    <t>思想教育</t>
    <phoneticPr fontId="3" type="noConversion"/>
  </si>
  <si>
    <t>mental education</t>
    <phoneticPr fontId="3" type="noConversion"/>
  </si>
  <si>
    <t>微波炉</t>
    <phoneticPr fontId="3" type="noConversion"/>
  </si>
  <si>
    <t>microwave oven</t>
    <phoneticPr fontId="3" type="noConversion"/>
  </si>
  <si>
    <t>中秋节</t>
    <phoneticPr fontId="3" type="noConversion"/>
  </si>
  <si>
    <t>mid-autumn festival</t>
    <phoneticPr fontId="3" type="noConversion"/>
  </si>
  <si>
    <t>加餐</t>
    <phoneticPr fontId="3" type="noConversion"/>
  </si>
  <si>
    <t>midmorning snacks</t>
    <phoneticPr fontId="3" type="noConversion"/>
  </si>
  <si>
    <t>中间范围</t>
    <phoneticPr fontId="3" type="noConversion"/>
  </si>
  <si>
    <t>mid-range</t>
    <phoneticPr fontId="3" type="noConversion"/>
  </si>
  <si>
    <t>mid-semester</t>
    <phoneticPr fontId="3" type="noConversion"/>
  </si>
  <si>
    <t>迁徙方式</t>
    <phoneticPr fontId="3" type="noConversion"/>
  </si>
  <si>
    <t>migration patterns</t>
    <phoneticPr fontId="3" type="noConversion"/>
  </si>
  <si>
    <t>火车票</t>
    <phoneticPr fontId="3" type="noConversion"/>
  </si>
  <si>
    <t>mileage ticket</t>
    <phoneticPr fontId="3" type="noConversion"/>
  </si>
  <si>
    <t>英里</t>
    <phoneticPr fontId="3" type="noConversion"/>
  </si>
  <si>
    <t>miles</t>
    <phoneticPr fontId="3" type="noConversion"/>
  </si>
  <si>
    <t>军事博物馆</t>
    <phoneticPr fontId="3" type="noConversion"/>
  </si>
  <si>
    <t>military museum</t>
    <phoneticPr fontId="3" type="noConversion"/>
  </si>
  <si>
    <t>在地上把谷物磨细</t>
    <phoneticPr fontId="3" type="noConversion"/>
  </si>
  <si>
    <t>mill the grain on the ground</t>
    <phoneticPr fontId="3" type="noConversion"/>
  </si>
  <si>
    <t>上百万的</t>
    <phoneticPr fontId="3" type="noConversion"/>
  </si>
  <si>
    <t>millions of</t>
    <phoneticPr fontId="3" type="noConversion"/>
  </si>
  <si>
    <t>山</t>
    <phoneticPr fontId="3" type="noConversion"/>
  </si>
  <si>
    <t>mountains</t>
    <phoneticPr fontId="3" type="noConversion"/>
  </si>
  <si>
    <t>矿泉水</t>
    <phoneticPr fontId="3" type="noConversion"/>
  </si>
  <si>
    <t>mineral water</t>
    <phoneticPr fontId="3" type="noConversion"/>
  </si>
  <si>
    <t>最低资格</t>
    <phoneticPr fontId="3" type="noConversion"/>
  </si>
  <si>
    <t>minimum qualification</t>
    <phoneticPr fontId="3" type="noConversion"/>
  </si>
  <si>
    <t>矿业</t>
    <phoneticPr fontId="3" type="noConversion"/>
  </si>
  <si>
    <t>mining industry</t>
    <phoneticPr fontId="3" type="noConversion"/>
  </si>
  <si>
    <t>手机</t>
    <phoneticPr fontId="3" type="noConversion"/>
  </si>
  <si>
    <t>mobile phone</t>
    <phoneticPr fontId="3" type="noConversion"/>
  </si>
  <si>
    <t>现代语言</t>
    <phoneticPr fontId="3" type="noConversion"/>
  </si>
  <si>
    <t>Modern Languages</t>
    <phoneticPr fontId="3" type="noConversion"/>
  </si>
  <si>
    <t>现代化管理的酒店</t>
    <phoneticPr fontId="3" type="noConversion"/>
  </si>
  <si>
    <t>modern management hotel</t>
    <phoneticPr fontId="3" type="noConversion"/>
  </si>
  <si>
    <t>现代体育设施</t>
    <phoneticPr fontId="3" type="noConversion"/>
  </si>
  <si>
    <t>modern sports facilities</t>
    <phoneticPr fontId="3" type="noConversion"/>
  </si>
  <si>
    <t>花销日记</t>
    <phoneticPr fontId="3" type="noConversion"/>
  </si>
  <si>
    <t>money diary</t>
    <phoneticPr fontId="3" type="noConversion"/>
  </si>
  <si>
    <t>钱商</t>
    <phoneticPr fontId="3" type="noConversion"/>
  </si>
  <si>
    <t>money lender</t>
    <phoneticPr fontId="3" type="noConversion"/>
  </si>
  <si>
    <t>理财</t>
    <phoneticPr fontId="3" type="noConversion"/>
  </si>
  <si>
    <t>money management</t>
    <phoneticPr fontId="3" type="noConversion"/>
  </si>
  <si>
    <t>汇票</t>
    <phoneticPr fontId="3" type="noConversion"/>
  </si>
  <si>
    <t>money order</t>
    <phoneticPr fontId="3" type="noConversion"/>
  </si>
  <si>
    <t>教育垄断</t>
    <phoneticPr fontId="3" type="noConversion"/>
  </si>
  <si>
    <t>monopoly of education</t>
    <phoneticPr fontId="3" type="noConversion"/>
  </si>
  <si>
    <t>蚊帐</t>
    <phoneticPr fontId="3" type="noConversion"/>
  </si>
  <si>
    <t>mosquito net</t>
    <phoneticPr fontId="3" type="noConversion"/>
  </si>
  <si>
    <t>岳母或婆婆</t>
    <phoneticPr fontId="3" type="noConversion"/>
  </si>
  <si>
    <t>mother-in-law</t>
    <phoneticPr fontId="3" type="noConversion"/>
  </si>
  <si>
    <t>电影海报</t>
    <phoneticPr fontId="3" type="noConversion"/>
  </si>
  <si>
    <t>movie poster</t>
    <phoneticPr fontId="3" type="noConversion"/>
  </si>
  <si>
    <t>肌肉运动</t>
    <phoneticPr fontId="3" type="noConversion"/>
  </si>
  <si>
    <t>movement of muscle</t>
    <phoneticPr fontId="3" type="noConversion"/>
  </si>
  <si>
    <t>音乐设备</t>
    <phoneticPr fontId="3" type="noConversion"/>
  </si>
  <si>
    <t>music equipment</t>
    <phoneticPr fontId="3" type="noConversion"/>
  </si>
  <si>
    <t>乐器</t>
    <phoneticPr fontId="3" type="noConversion"/>
  </si>
  <si>
    <t>music instrument</t>
    <phoneticPr fontId="3" type="noConversion"/>
  </si>
  <si>
    <t>notice board</t>
    <phoneticPr fontId="3" type="noConversion"/>
  </si>
  <si>
    <t>写有名字的胸牌</t>
    <phoneticPr fontId="3" type="noConversion"/>
  </si>
  <si>
    <t>name badge</t>
    <phoneticPr fontId="3" type="noConversion"/>
  </si>
  <si>
    <t>本土动物</t>
    <phoneticPr fontId="3" type="noConversion"/>
  </si>
  <si>
    <t>native animals</t>
    <phoneticPr fontId="3" type="noConversion"/>
  </si>
  <si>
    <t>消极影响</t>
    <phoneticPr fontId="3" type="noConversion"/>
  </si>
  <si>
    <t>negative effect</t>
    <phoneticPr fontId="3" type="noConversion"/>
  </si>
  <si>
    <t>天然药品</t>
    <phoneticPr fontId="3" type="noConversion"/>
  </si>
  <si>
    <t>natural medicine</t>
    <phoneticPr fontId="3" type="noConversion"/>
  </si>
  <si>
    <t>自然博物馆</t>
    <phoneticPr fontId="3" type="noConversion"/>
  </si>
  <si>
    <t>natural museum</t>
    <phoneticPr fontId="3" type="noConversion"/>
  </si>
  <si>
    <t>自然纤维</t>
    <phoneticPr fontId="3" type="noConversion"/>
  </si>
  <si>
    <t>natural fibre</t>
    <phoneticPr fontId="3" type="noConversion"/>
  </si>
  <si>
    <t>新科技</t>
    <phoneticPr fontId="3" type="noConversion"/>
  </si>
  <si>
    <t>new technologies</t>
    <phoneticPr fontId="3" type="noConversion"/>
  </si>
  <si>
    <t>夜</t>
    <phoneticPr fontId="3" type="noConversion"/>
  </si>
  <si>
    <t>nights</t>
    <phoneticPr fontId="3" type="noConversion"/>
  </si>
  <si>
    <t>晚班</t>
    <phoneticPr fontId="3" type="noConversion"/>
  </si>
  <si>
    <t>night shift</t>
    <phoneticPr fontId="3" type="noConversion"/>
  </si>
  <si>
    <t>不过敏</t>
    <phoneticPr fontId="3" type="noConversion"/>
  </si>
  <si>
    <t>no allergy</t>
    <phoneticPr fontId="3" type="noConversion"/>
  </si>
  <si>
    <t>no charge</t>
    <phoneticPr fontId="3" type="noConversion"/>
  </si>
  <si>
    <t>不吃坚果</t>
    <phoneticPr fontId="3" type="noConversion"/>
  </si>
  <si>
    <t>no nuts</t>
    <phoneticPr fontId="3" type="noConversion"/>
  </si>
  <si>
    <t>非药品类东西</t>
    <phoneticPr fontId="3" type="noConversion"/>
  </si>
  <si>
    <t>non-medicine items</t>
    <phoneticPr fontId="3" type="noConversion"/>
  </si>
  <si>
    <t>直达航班</t>
    <phoneticPr fontId="3" type="noConversion"/>
  </si>
  <si>
    <t>non stop flight</t>
    <phoneticPr fontId="3" type="noConversion"/>
  </si>
  <si>
    <t>不检查身份</t>
    <phoneticPr fontId="3" type="noConversion"/>
  </si>
  <si>
    <t>not check identities</t>
    <phoneticPr fontId="3" type="noConversion"/>
  </si>
  <si>
    <t>不外借</t>
    <phoneticPr fontId="3" type="noConversion"/>
  </si>
  <si>
    <t>not for circulation</t>
    <phoneticPr fontId="3" type="noConversion"/>
  </si>
  <si>
    <t>拍照的数量</t>
    <phoneticPr fontId="3" type="noConversion"/>
  </si>
  <si>
    <t>number of exposure</t>
    <phoneticPr fontId="3" type="noConversion"/>
  </si>
  <si>
    <t>居住者人数</t>
    <phoneticPr fontId="3" type="noConversion"/>
  </si>
  <si>
    <t>number of occupants</t>
    <phoneticPr fontId="3" type="noConversion"/>
  </si>
  <si>
    <t>护理，医疗护理</t>
    <phoneticPr fontId="3" type="noConversion"/>
  </si>
  <si>
    <t>nursing care</t>
    <phoneticPr fontId="3" type="noConversion"/>
  </si>
  <si>
    <t>护理毕业证</t>
    <phoneticPr fontId="3" type="noConversion"/>
  </si>
  <si>
    <t>Nursing Diploma</t>
    <phoneticPr fontId="3" type="noConversion"/>
  </si>
  <si>
    <t>职业因素</t>
    <phoneticPr fontId="3" type="noConversion"/>
  </si>
  <si>
    <t>occupational factors</t>
    <phoneticPr fontId="3" type="noConversion"/>
  </si>
  <si>
    <t>托儿所</t>
    <phoneticPr fontId="3" type="noConversion"/>
  </si>
  <si>
    <t>nursery school</t>
    <phoneticPr fontId="3" type="noConversion"/>
  </si>
  <si>
    <t>obligatory course</t>
    <phoneticPr fontId="3" type="noConversion"/>
  </si>
  <si>
    <t>自给自足</t>
    <phoneticPr fontId="3" type="noConversion"/>
  </si>
  <si>
    <t>校外</t>
    <phoneticPr fontId="3" type="noConversion"/>
  </si>
  <si>
    <t>off campus</t>
    <phoneticPr fontId="3" type="noConversion"/>
  </si>
  <si>
    <t>办公室助手</t>
    <phoneticPr fontId="3" type="noConversion"/>
  </si>
  <si>
    <t>office assistant</t>
    <phoneticPr fontId="3" type="noConversion"/>
  </si>
  <si>
    <t>填满</t>
    <phoneticPr fontId="3" type="noConversion"/>
  </si>
  <si>
    <t>overfill</t>
    <phoneticPr fontId="3" type="noConversion"/>
  </si>
  <si>
    <t>石油爆炸</t>
    <phoneticPr fontId="3" type="noConversion"/>
  </si>
  <si>
    <t>oil explosion</t>
    <phoneticPr fontId="3" type="noConversion"/>
  </si>
  <si>
    <t>橄榄油</t>
    <phoneticPr fontId="3" type="noConversion"/>
  </si>
  <si>
    <t>olive oil</t>
    <phoneticPr fontId="3" type="noConversion"/>
  </si>
  <si>
    <t>白板上写字的笔</t>
    <phoneticPr fontId="3" type="noConversion"/>
  </si>
  <si>
    <t>OHPEN</t>
    <phoneticPr fontId="3" type="noConversion"/>
  </si>
  <si>
    <t>Chapter5 Test Paper 8</t>
    <phoneticPr fontId="3" type="noConversion"/>
  </si>
  <si>
    <t>在学校</t>
    <phoneticPr fontId="3" type="noConversion"/>
  </si>
  <si>
    <t>on campus</t>
    <phoneticPr fontId="3" type="noConversion"/>
  </si>
  <si>
    <t>步行</t>
    <phoneticPr fontId="3" type="noConversion"/>
  </si>
  <si>
    <t>on foot</t>
    <phoneticPr fontId="3" type="noConversion"/>
  </si>
  <si>
    <t>热卖</t>
    <phoneticPr fontId="3" type="noConversion"/>
  </si>
  <si>
    <t>on sale</t>
    <phoneticPr fontId="3" type="noConversion"/>
  </si>
  <si>
    <t>小范围地</t>
    <phoneticPr fontId="3" type="noConversion"/>
  </si>
  <si>
    <t>on small scale</t>
    <phoneticPr fontId="3" type="noConversion"/>
  </si>
  <si>
    <t>单程票</t>
    <phoneticPr fontId="3" type="noConversion"/>
  </si>
  <si>
    <t>one-way ticket</t>
    <phoneticPr fontId="3" type="noConversion"/>
  </si>
  <si>
    <t>单程</t>
    <phoneticPr fontId="3" type="noConversion"/>
  </si>
  <si>
    <t>one-way</t>
    <phoneticPr fontId="3" type="noConversion"/>
  </si>
  <si>
    <t>电子购物</t>
    <phoneticPr fontId="3" type="noConversion"/>
  </si>
  <si>
    <t>online shopping</t>
    <phoneticPr fontId="3" type="noConversion"/>
  </si>
  <si>
    <t>免试入学制</t>
    <phoneticPr fontId="3" type="noConversion"/>
  </si>
  <si>
    <t>open admission</t>
    <phoneticPr fontId="3" type="noConversion"/>
  </si>
  <si>
    <t>开架书库</t>
    <phoneticPr fontId="3" type="noConversion"/>
  </si>
  <si>
    <t>open shelves</t>
    <phoneticPr fontId="3" type="noConversion"/>
  </si>
  <si>
    <t>开卷考试</t>
    <phoneticPr fontId="3" type="noConversion"/>
  </si>
  <si>
    <t>open-book exam</t>
    <phoneticPr fontId="3" type="noConversion"/>
  </si>
  <si>
    <t>眼部检查</t>
    <phoneticPr fontId="3" type="noConversion"/>
  </si>
  <si>
    <t>optic examination</t>
    <phoneticPr fontId="3" type="noConversion"/>
  </si>
  <si>
    <t>选修课</t>
    <phoneticPr fontId="3" type="noConversion"/>
  </si>
  <si>
    <t>optional course</t>
    <phoneticPr fontId="3" type="noConversion"/>
  </si>
  <si>
    <t>选择性花销</t>
    <phoneticPr fontId="3" type="noConversion"/>
  </si>
  <si>
    <t>optional expenses</t>
    <phoneticPr fontId="3" type="noConversion"/>
  </si>
  <si>
    <t>答辩，论文答辩</t>
    <phoneticPr fontId="3" type="noConversion"/>
  </si>
  <si>
    <t>oral defence</t>
    <phoneticPr fontId="3" type="noConversion"/>
  </si>
  <si>
    <t>橙汁</t>
    <phoneticPr fontId="3" type="noConversion"/>
  </si>
  <si>
    <t>orange juice</t>
    <phoneticPr fontId="3" type="noConversion"/>
  </si>
  <si>
    <t>普通农民</t>
    <phoneticPr fontId="3" type="noConversion"/>
  </si>
  <si>
    <t>ordinary farmers</t>
    <phoneticPr fontId="3" type="noConversion"/>
  </si>
  <si>
    <t>有机农业</t>
    <phoneticPr fontId="3" type="noConversion"/>
  </si>
  <si>
    <t>organic farming</t>
    <phoneticPr fontId="3" type="noConversion"/>
  </si>
  <si>
    <t>有机纤维</t>
    <phoneticPr fontId="3" type="noConversion"/>
  </si>
  <si>
    <t>organic fiber</t>
    <phoneticPr fontId="3" type="noConversion"/>
  </si>
  <si>
    <t>有机食物</t>
    <phoneticPr fontId="3" type="noConversion"/>
  </si>
  <si>
    <t>organic food</t>
    <phoneticPr fontId="3" type="noConversion"/>
  </si>
  <si>
    <t>有机材料</t>
    <phoneticPr fontId="3" type="noConversion"/>
  </si>
  <si>
    <t>organic material</t>
    <phoneticPr fontId="3" type="noConversion"/>
  </si>
  <si>
    <t>东方研究</t>
    <phoneticPr fontId="3" type="noConversion"/>
  </si>
  <si>
    <t>Oriental studies</t>
    <phoneticPr fontId="3" type="noConversion"/>
  </si>
  <si>
    <t>最初理由</t>
    <phoneticPr fontId="3" type="noConversion"/>
  </si>
  <si>
    <t>original reason</t>
    <phoneticPr fontId="3" type="noConversion"/>
  </si>
  <si>
    <t>已借走</t>
    <phoneticPr fontId="3" type="noConversion"/>
  </si>
  <si>
    <t>out circulation</t>
    <phoneticPr fontId="3" type="noConversion"/>
  </si>
  <si>
    <t>out of temper</t>
    <phoneticPr fontId="3" type="noConversion"/>
  </si>
  <si>
    <t>借出的</t>
    <phoneticPr fontId="3" type="noConversion"/>
  </si>
  <si>
    <t>out on loan</t>
    <phoneticPr fontId="3" type="noConversion"/>
  </si>
  <si>
    <t>户外活动</t>
    <phoneticPr fontId="3" type="noConversion"/>
  </si>
  <si>
    <t>outside activity</t>
    <phoneticPr fontId="3" type="noConversion"/>
  </si>
  <si>
    <t>健康俱乐部的总目标</t>
    <phoneticPr fontId="3" type="noConversion"/>
  </si>
  <si>
    <t>overall aim of the health club</t>
    <phoneticPr fontId="3" type="noConversion"/>
  </si>
  <si>
    <t>总体趋势</t>
    <phoneticPr fontId="3" type="noConversion"/>
  </si>
  <si>
    <t>overall trend</t>
    <phoneticPr fontId="3" type="noConversion"/>
  </si>
  <si>
    <t>过期并交罚款</t>
    <phoneticPr fontId="3" type="noConversion"/>
  </si>
  <si>
    <t>overdue and pay a fine</t>
    <phoneticPr fontId="3" type="noConversion"/>
  </si>
  <si>
    <t>投影仪</t>
    <phoneticPr fontId="3" type="noConversion"/>
  </si>
  <si>
    <t>overhead projector</t>
    <phoneticPr fontId="3" type="noConversion"/>
  </si>
  <si>
    <t>俯视图</t>
    <phoneticPr fontId="3" type="noConversion"/>
  </si>
  <si>
    <t>overhead view</t>
    <phoneticPr fontId="3" type="noConversion"/>
  </si>
  <si>
    <t>overseas student</t>
    <phoneticPr fontId="3" type="noConversion"/>
  </si>
  <si>
    <t>搭便车旅行</t>
    <phoneticPr fontId="3" type="noConversion"/>
  </si>
  <si>
    <t>hitchhike</t>
    <phoneticPr fontId="3" type="noConversion"/>
  </si>
  <si>
    <t>包裹</t>
    <phoneticPr fontId="3" type="noConversion"/>
  </si>
  <si>
    <t>packages</t>
    <phoneticPr fontId="3" type="noConversion"/>
  </si>
  <si>
    <t>全包游</t>
    <phoneticPr fontId="3" type="noConversion"/>
  </si>
  <si>
    <t>package tour</t>
    <phoneticPr fontId="3" type="noConversion"/>
  </si>
  <si>
    <t>打包单</t>
    <phoneticPr fontId="3" type="noConversion"/>
  </si>
  <si>
    <t>packing list</t>
    <phoneticPr fontId="3" type="noConversion"/>
  </si>
  <si>
    <t>太平洋</t>
    <phoneticPr fontId="3" type="noConversion"/>
  </si>
  <si>
    <t>Pacific Ocean</t>
    <phoneticPr fontId="3" type="noConversion"/>
  </si>
  <si>
    <t>戏水池</t>
    <phoneticPr fontId="3" type="noConversion"/>
  </si>
  <si>
    <t>paddling pool</t>
    <phoneticPr fontId="3" type="noConversion"/>
  </si>
  <si>
    <t>页</t>
    <phoneticPr fontId="3" type="noConversion"/>
  </si>
  <si>
    <t>pages</t>
    <phoneticPr fontId="3" type="noConversion"/>
  </si>
  <si>
    <t>伙伴关系</t>
    <phoneticPr fontId="3" type="noConversion"/>
  </si>
  <si>
    <t>pal group relationship</t>
    <phoneticPr fontId="3" type="noConversion"/>
  </si>
  <si>
    <t>宫殿</t>
    <phoneticPr fontId="3" type="noConversion"/>
  </si>
  <si>
    <t>palaces</t>
    <phoneticPr fontId="3" type="noConversion"/>
  </si>
  <si>
    <t>棕榈树</t>
    <phoneticPr fontId="3" type="noConversion"/>
  </si>
  <si>
    <t>palm tree</t>
    <phoneticPr fontId="3" type="noConversion"/>
  </si>
  <si>
    <t>卷纸现象</t>
    <phoneticPr fontId="3" type="noConversion"/>
  </si>
  <si>
    <t>paper jam</t>
    <phoneticPr fontId="3" type="noConversion"/>
  </si>
  <si>
    <t>家长会的目的</t>
    <phoneticPr fontId="3" type="noConversion"/>
  </si>
  <si>
    <t>parent's meeting's aim</t>
    <phoneticPr fontId="3" type="noConversion"/>
  </si>
  <si>
    <t>父母的教育</t>
    <phoneticPr fontId="3" type="noConversion"/>
  </si>
  <si>
    <t>parental teaching</t>
    <phoneticPr fontId="3" type="noConversion"/>
  </si>
  <si>
    <t>兼职工作</t>
    <phoneticPr fontId="3" type="noConversion"/>
  </si>
  <si>
    <t>part-time job</t>
    <phoneticPr fontId="3" type="noConversion"/>
  </si>
  <si>
    <t>兼职的</t>
    <phoneticPr fontId="3" type="noConversion"/>
  </si>
  <si>
    <t>part-time</t>
    <phoneticPr fontId="3" type="noConversion"/>
  </si>
  <si>
    <t>晚宴装</t>
    <phoneticPr fontId="3" type="noConversion"/>
  </si>
  <si>
    <t>party wears</t>
    <phoneticPr fontId="3" type="noConversion"/>
  </si>
  <si>
    <t>护照照片</t>
    <phoneticPr fontId="3" type="noConversion"/>
  </si>
  <si>
    <t>passport photos</t>
    <phoneticPr fontId="3" type="noConversion"/>
  </si>
  <si>
    <t>补偿损失</t>
    <phoneticPr fontId="3" type="noConversion"/>
  </si>
  <si>
    <t>pay for loss</t>
    <phoneticPr fontId="3" type="noConversion"/>
  </si>
  <si>
    <t>付款方式</t>
    <phoneticPr fontId="3" type="noConversion"/>
  </si>
  <si>
    <t>payment method</t>
    <phoneticPr fontId="3" type="noConversion"/>
  </si>
  <si>
    <t>每天</t>
    <phoneticPr fontId="3" type="noConversion"/>
  </si>
  <si>
    <t>per day</t>
    <phoneticPr fontId="3" type="noConversion"/>
  </si>
  <si>
    <t>每月</t>
    <phoneticPr fontId="3" type="noConversion"/>
  </si>
  <si>
    <t>per month</t>
    <phoneticPr fontId="3" type="noConversion"/>
  </si>
  <si>
    <t>每个人</t>
    <phoneticPr fontId="3" type="noConversion"/>
  </si>
  <si>
    <t>per person</t>
    <phoneticPr fontId="3" type="noConversion"/>
  </si>
  <si>
    <t>每周</t>
    <phoneticPr fontId="3" type="noConversion"/>
  </si>
  <si>
    <t>per week</t>
    <phoneticPr fontId="3" type="noConversion"/>
  </si>
  <si>
    <t>每年</t>
    <phoneticPr fontId="3" type="noConversion"/>
  </si>
  <si>
    <t>per year</t>
    <phoneticPr fontId="3" type="noConversion"/>
  </si>
  <si>
    <t>查许可证</t>
    <phoneticPr fontId="3" type="noConversion"/>
  </si>
  <si>
    <t>permit required</t>
    <phoneticPr fontId="3" type="noConversion"/>
  </si>
  <si>
    <t>个人警报</t>
    <phoneticPr fontId="3" type="noConversion"/>
  </si>
  <si>
    <t>personal alarm</t>
    <phoneticPr fontId="3" type="noConversion"/>
  </si>
  <si>
    <t>个人陈述</t>
    <phoneticPr fontId="3" type="noConversion"/>
  </si>
  <si>
    <t>personal statement</t>
    <phoneticPr fontId="3" type="noConversion"/>
  </si>
  <si>
    <t>私人教练</t>
    <phoneticPr fontId="3" type="noConversion"/>
  </si>
  <si>
    <t>personal trainer</t>
    <phoneticPr fontId="3" type="noConversion"/>
  </si>
  <si>
    <t>博士</t>
    <phoneticPr fontId="3" type="noConversion"/>
  </si>
  <si>
    <t>PHD</t>
    <phoneticPr fontId="3" type="noConversion"/>
  </si>
  <si>
    <t>哲学家</t>
    <phoneticPr fontId="3" type="noConversion"/>
  </si>
  <si>
    <t>philosophers</t>
    <phoneticPr fontId="3" type="noConversion"/>
  </si>
  <si>
    <t>电话费</t>
    <phoneticPr fontId="3" type="noConversion"/>
  </si>
  <si>
    <t>phone bill</t>
    <phoneticPr fontId="3" type="noConversion"/>
  </si>
  <si>
    <t>复印笔记</t>
    <phoneticPr fontId="3" type="noConversion"/>
  </si>
  <si>
    <t>photocopies of notes</t>
    <phoneticPr fontId="3" type="noConversion"/>
  </si>
  <si>
    <t>复印文章</t>
    <phoneticPr fontId="3" type="noConversion"/>
  </si>
  <si>
    <t>photocopies of articles</t>
    <phoneticPr fontId="3" type="noConversion"/>
  </si>
  <si>
    <t>photocopy of article</t>
    <phoneticPr fontId="3" type="noConversion"/>
  </si>
  <si>
    <t>复印室</t>
    <phoneticPr fontId="3" type="noConversion"/>
  </si>
  <si>
    <t>photocopy office</t>
    <phoneticPr fontId="3" type="noConversion"/>
  </si>
  <si>
    <t>体育活动</t>
    <phoneticPr fontId="3" type="noConversion"/>
  </si>
  <si>
    <t>physical activities</t>
    <phoneticPr fontId="3" type="noConversion"/>
  </si>
  <si>
    <t>体育课</t>
    <phoneticPr fontId="3" type="noConversion"/>
  </si>
  <si>
    <t>physical education</t>
    <phoneticPr fontId="3" type="noConversion"/>
  </si>
  <si>
    <t>周边环境</t>
    <phoneticPr fontId="3" type="noConversion"/>
  </si>
  <si>
    <t>physical surroundings</t>
    <phoneticPr fontId="3" type="noConversion"/>
  </si>
  <si>
    <t>理疗</t>
    <phoneticPr fontId="3" type="noConversion"/>
  </si>
  <si>
    <t>physical therapy</t>
    <phoneticPr fontId="3" type="noConversion"/>
  </si>
  <si>
    <t>饼图</t>
    <phoneticPr fontId="3" type="noConversion"/>
  </si>
  <si>
    <t>pie chart</t>
    <phoneticPr fontId="3" type="noConversion"/>
  </si>
  <si>
    <t>松树</t>
    <phoneticPr fontId="3" type="noConversion"/>
  </si>
  <si>
    <t>pine tree</t>
    <phoneticPr fontId="3" type="noConversion"/>
  </si>
  <si>
    <t>解雇通知书</t>
    <phoneticPr fontId="3" type="noConversion"/>
  </si>
  <si>
    <t>pink slip</t>
    <phoneticPr fontId="3" type="noConversion"/>
  </si>
  <si>
    <t>分班考试</t>
    <phoneticPr fontId="3" type="noConversion"/>
  </si>
  <si>
    <t>placement test</t>
    <phoneticPr fontId="3" type="noConversion"/>
  </si>
  <si>
    <t>行星科学</t>
    <phoneticPr fontId="3" type="noConversion"/>
  </si>
  <si>
    <t>planet science</t>
    <phoneticPr fontId="3" type="noConversion"/>
  </si>
  <si>
    <t>行星协会</t>
    <phoneticPr fontId="3" type="noConversion"/>
  </si>
  <si>
    <t>Planet Society</t>
    <phoneticPr fontId="3" type="noConversion"/>
  </si>
  <si>
    <t>筹划会</t>
    <phoneticPr fontId="3" type="noConversion"/>
  </si>
  <si>
    <t>planning meeting</t>
    <phoneticPr fontId="3" type="noConversion"/>
  </si>
  <si>
    <t>种植园</t>
    <phoneticPr fontId="3" type="noConversion"/>
  </si>
  <si>
    <t>planting garden</t>
    <phoneticPr fontId="3" type="noConversion"/>
  </si>
  <si>
    <t>塑料袋</t>
    <phoneticPr fontId="3" type="noConversion"/>
  </si>
  <si>
    <t>plastic bags</t>
    <phoneticPr fontId="3" type="noConversion"/>
  </si>
  <si>
    <t>回收塑料</t>
    <phoneticPr fontId="3" type="noConversion"/>
  </si>
  <si>
    <t>plastic collection</t>
    <phoneticPr fontId="3" type="noConversion"/>
  </si>
  <si>
    <t>加</t>
    <phoneticPr fontId="3" type="noConversion"/>
  </si>
  <si>
    <t>plus</t>
    <phoneticPr fontId="3" type="noConversion"/>
  </si>
  <si>
    <t>零用钱</t>
    <phoneticPr fontId="3" type="noConversion"/>
  </si>
  <si>
    <t>pocket money</t>
    <phoneticPr fontId="3" type="noConversion"/>
  </si>
  <si>
    <t>观点</t>
    <phoneticPr fontId="3" type="noConversion"/>
  </si>
  <si>
    <t>point of view</t>
    <phoneticPr fontId="3" type="noConversion"/>
  </si>
  <si>
    <t>汽车抛光</t>
    <phoneticPr fontId="3" type="noConversion"/>
  </si>
  <si>
    <t>polish cars</t>
    <phoneticPr fontId="3" type="noConversion"/>
  </si>
  <si>
    <t>不发达的地区</t>
    <phoneticPr fontId="3" type="noConversion"/>
  </si>
  <si>
    <t>poor area</t>
    <phoneticPr fontId="3" type="noConversion"/>
  </si>
  <si>
    <t>抽考</t>
    <phoneticPr fontId="3" type="noConversion"/>
  </si>
  <si>
    <t>pop test</t>
    <phoneticPr fontId="3" type="noConversion"/>
  </si>
  <si>
    <t>人口爆炸</t>
    <phoneticPr fontId="3" type="noConversion"/>
  </si>
  <si>
    <t>population explosion</t>
    <phoneticPr fontId="3" type="noConversion"/>
  </si>
  <si>
    <t>人口增长</t>
    <phoneticPr fontId="3" type="noConversion"/>
  </si>
  <si>
    <t>population growth</t>
    <phoneticPr fontId="3" type="noConversion"/>
  </si>
  <si>
    <t>鳄鱼的数量</t>
    <phoneticPr fontId="3" type="noConversion"/>
  </si>
  <si>
    <t>population of crocodiles</t>
    <phoneticPr fontId="3" type="noConversion"/>
  </si>
  <si>
    <t>积极影响</t>
    <phoneticPr fontId="3" type="noConversion"/>
  </si>
  <si>
    <t>positive effect</t>
    <phoneticPr fontId="3" type="noConversion"/>
  </si>
  <si>
    <t>可能的压力来源</t>
    <phoneticPr fontId="3" type="noConversion"/>
  </si>
  <si>
    <t>possible causes of stress</t>
    <phoneticPr fontId="3" type="noConversion"/>
  </si>
  <si>
    <t>邮寄调查</t>
    <phoneticPr fontId="3" type="noConversion"/>
  </si>
  <si>
    <t>postal survey</t>
    <phoneticPr fontId="3" type="noConversion"/>
  </si>
  <si>
    <t>供电公司</t>
    <phoneticPr fontId="3" type="noConversion"/>
  </si>
  <si>
    <t>power company</t>
    <phoneticPr fontId="3" type="noConversion"/>
  </si>
  <si>
    <t>实用材料</t>
    <phoneticPr fontId="3" type="noConversion"/>
  </si>
  <si>
    <t>practical material</t>
    <phoneticPr fontId="3" type="noConversion"/>
  </si>
  <si>
    <t>实用技能</t>
    <phoneticPr fontId="3" type="noConversion"/>
  </si>
  <si>
    <t>practical skills</t>
    <phoneticPr fontId="3" type="noConversion"/>
  </si>
  <si>
    <t>措施</t>
    <phoneticPr fontId="3" type="noConversion"/>
  </si>
  <si>
    <t>precautions</t>
    <phoneticPr fontId="3" type="noConversion"/>
  </si>
  <si>
    <t>宝石</t>
    <phoneticPr fontId="3" type="noConversion"/>
  </si>
  <si>
    <t>precious stone</t>
    <phoneticPr fontId="3" type="noConversion"/>
  </si>
  <si>
    <t>陈述技巧</t>
    <phoneticPr fontId="3" type="noConversion"/>
  </si>
  <si>
    <t>presentation skills</t>
    <phoneticPr fontId="3" type="noConversion"/>
  </si>
  <si>
    <t>总统套房</t>
    <phoneticPr fontId="3" type="noConversion"/>
  </si>
  <si>
    <t>President's suite</t>
    <phoneticPr fontId="3" type="noConversion"/>
  </si>
  <si>
    <t>原来的数据</t>
    <phoneticPr fontId="3" type="noConversion"/>
  </si>
  <si>
    <t>previous data</t>
    <phoneticPr fontId="3" type="noConversion"/>
  </si>
  <si>
    <t>原来的保险公司</t>
    <phoneticPr fontId="3" type="noConversion"/>
  </si>
  <si>
    <t>previous insurance company</t>
    <phoneticPr fontId="3" type="noConversion"/>
  </si>
  <si>
    <t>原来的结果</t>
    <phoneticPr fontId="3" type="noConversion"/>
  </si>
  <si>
    <t>previous result</t>
    <phoneticPr fontId="3" type="noConversion"/>
  </si>
  <si>
    <t>前人的研究</t>
    <phoneticPr fontId="3" type="noConversion"/>
  </si>
  <si>
    <t>previous studies</t>
    <phoneticPr fontId="3" type="noConversion"/>
  </si>
  <si>
    <t>价目单</t>
    <phoneticPr fontId="3" type="noConversion"/>
  </si>
  <si>
    <t>price list</t>
    <phoneticPr fontId="3" type="noConversion"/>
  </si>
  <si>
    <t>principal</t>
    <phoneticPr fontId="3" type="noConversion"/>
  </si>
  <si>
    <t>打印出的卡片</t>
    <phoneticPr fontId="3" type="noConversion"/>
  </si>
  <si>
    <t>printed card</t>
    <phoneticPr fontId="3" type="noConversion"/>
  </si>
  <si>
    <t>打印出的目录</t>
    <phoneticPr fontId="3" type="noConversion"/>
  </si>
  <si>
    <t>printed catalogue</t>
    <phoneticPr fontId="3" type="noConversion"/>
  </si>
  <si>
    <t>私人卫生间</t>
    <phoneticPr fontId="3" type="noConversion"/>
  </si>
  <si>
    <t>private bathroom</t>
    <phoneticPr fontId="3" type="noConversion"/>
  </si>
  <si>
    <t>私人财产</t>
    <phoneticPr fontId="3" type="noConversion"/>
  </si>
  <si>
    <t>private property</t>
    <phoneticPr fontId="3" type="noConversion"/>
  </si>
  <si>
    <t>私立学校</t>
    <phoneticPr fontId="3" type="noConversion"/>
  </si>
  <si>
    <t>private school</t>
    <phoneticPr fontId="3" type="noConversion"/>
  </si>
  <si>
    <t>私人旅行</t>
    <phoneticPr fontId="3" type="noConversion"/>
  </si>
  <si>
    <t>private trip</t>
    <phoneticPr fontId="3" type="noConversion"/>
  </si>
  <si>
    <t>分配奖品</t>
    <phoneticPr fontId="3" type="noConversion"/>
  </si>
  <si>
    <t>prize giving</t>
    <phoneticPr fontId="3" type="noConversion"/>
  </si>
  <si>
    <t>专业学习</t>
    <phoneticPr fontId="3" type="noConversion"/>
  </si>
  <si>
    <t>professional learning</t>
    <phoneticPr fontId="3" type="noConversion"/>
  </si>
  <si>
    <t>项目</t>
    <phoneticPr fontId="3" type="noConversion"/>
  </si>
  <si>
    <t>project work</t>
    <phoneticPr fontId="3" type="noConversion"/>
  </si>
  <si>
    <t>项目背景</t>
    <phoneticPr fontId="3" type="noConversion"/>
  </si>
  <si>
    <t>project background</t>
    <phoneticPr fontId="3" type="noConversion"/>
  </si>
  <si>
    <t>项目大纲</t>
    <phoneticPr fontId="3" type="noConversion"/>
  </si>
  <si>
    <t>project outline</t>
    <phoneticPr fontId="3" type="noConversion"/>
  </si>
  <si>
    <t>利润</t>
    <phoneticPr fontId="3" type="noConversion"/>
  </si>
  <si>
    <t>profits</t>
    <phoneticPr fontId="3" type="noConversion"/>
  </si>
  <si>
    <t>有心理疾病的人</t>
    <phoneticPr fontId="3" type="noConversion"/>
  </si>
  <si>
    <t>psychological patients</t>
    <phoneticPr fontId="3" type="noConversion"/>
  </si>
  <si>
    <t>心理课</t>
    <phoneticPr fontId="3" type="noConversion"/>
  </si>
  <si>
    <t>psychological course</t>
    <phoneticPr fontId="3" type="noConversion"/>
  </si>
  <si>
    <t>公交</t>
    <phoneticPr fontId="3" type="noConversion"/>
  </si>
  <si>
    <t>public transport</t>
    <phoneticPr fontId="3" type="noConversion"/>
  </si>
  <si>
    <t>公众意识</t>
    <phoneticPr fontId="3" type="noConversion"/>
  </si>
  <si>
    <t>public awareness</t>
    <phoneticPr fontId="3" type="noConversion"/>
  </si>
  <si>
    <t>公共考试</t>
    <phoneticPr fontId="3" type="noConversion"/>
  </si>
  <si>
    <t>public examination</t>
    <phoneticPr fontId="3" type="noConversion"/>
  </si>
  <si>
    <t>公共设施</t>
    <phoneticPr fontId="3" type="noConversion"/>
  </si>
  <si>
    <t>public facilities</t>
    <phoneticPr fontId="3" type="noConversion"/>
  </si>
  <si>
    <t>公共健康</t>
    <phoneticPr fontId="3" type="noConversion"/>
  </si>
  <si>
    <t>public health</t>
    <phoneticPr fontId="3" type="noConversion"/>
  </si>
  <si>
    <t>公共利益</t>
    <phoneticPr fontId="3" type="noConversion"/>
  </si>
  <si>
    <t>public interest</t>
    <phoneticPr fontId="3" type="noConversion"/>
  </si>
  <si>
    <t>公立学校</t>
    <phoneticPr fontId="3" type="noConversion"/>
  </si>
  <si>
    <t>public school</t>
    <phoneticPr fontId="3" type="noConversion"/>
  </si>
  <si>
    <t>大众服务</t>
    <phoneticPr fontId="3" type="noConversion"/>
  </si>
  <si>
    <t>public service</t>
    <phoneticPr fontId="3" type="noConversion"/>
  </si>
  <si>
    <t>大众技能</t>
    <phoneticPr fontId="3" type="noConversion"/>
  </si>
  <si>
    <t>public skills</t>
    <phoneticPr fontId="3" type="noConversion"/>
  </si>
  <si>
    <t>教学质量</t>
    <phoneticPr fontId="3" type="noConversion"/>
  </si>
  <si>
    <t>quality of teaching</t>
    <phoneticPr fontId="3" type="noConversion"/>
  </si>
  <si>
    <t>教育质量</t>
    <phoneticPr fontId="3" type="noConversion"/>
  </si>
  <si>
    <t>quality of education</t>
    <phoneticPr fontId="3" type="noConversion"/>
  </si>
  <si>
    <t>职员的素质</t>
    <phoneticPr fontId="3" type="noConversion"/>
  </si>
  <si>
    <t>quality of personnel</t>
    <phoneticPr fontId="3" type="noConversion"/>
  </si>
  <si>
    <t>瓦片的一种</t>
    <phoneticPr fontId="3" type="noConversion"/>
  </si>
  <si>
    <t>quarry tiles</t>
    <phoneticPr fontId="3" type="noConversion"/>
  </si>
  <si>
    <t>财产险</t>
    <phoneticPr fontId="3" type="noConversion"/>
  </si>
  <si>
    <t>property insurance</t>
    <phoneticPr fontId="3" type="noConversion"/>
  </si>
  <si>
    <t>问题处理</t>
    <phoneticPr fontId="3" type="noConversion"/>
  </si>
  <si>
    <t>question handling</t>
    <phoneticPr fontId="3" type="noConversion"/>
  </si>
  <si>
    <t>皇后套房</t>
    <phoneticPr fontId="3" type="noConversion"/>
  </si>
  <si>
    <t>Queen's suite</t>
    <phoneticPr fontId="3" type="noConversion"/>
  </si>
  <si>
    <t>1.5乘2.0的床</t>
    <phoneticPr fontId="3" type="noConversion"/>
  </si>
  <si>
    <t>queen-sized bed</t>
    <phoneticPr fontId="3" type="noConversion"/>
  </si>
  <si>
    <t>女王公园</t>
    <phoneticPr fontId="3" type="noConversion"/>
  </si>
  <si>
    <t>Queen's park</t>
    <phoneticPr fontId="3" type="noConversion"/>
  </si>
  <si>
    <t>研究助理</t>
    <phoneticPr fontId="3" type="noConversion"/>
  </si>
  <si>
    <t>research assistant</t>
    <phoneticPr fontId="3" type="noConversion"/>
  </si>
  <si>
    <t>铁轨</t>
    <phoneticPr fontId="3" type="noConversion"/>
  </si>
  <si>
    <t>railway rail</t>
    <phoneticPr fontId="3" type="noConversion"/>
  </si>
  <si>
    <t>火车站</t>
    <phoneticPr fontId="3" type="noConversion"/>
  </si>
  <si>
    <t>railway station</t>
    <phoneticPr fontId="3" type="noConversion"/>
  </si>
  <si>
    <t>railway tracks</t>
    <phoneticPr fontId="3" type="noConversion"/>
  </si>
  <si>
    <t>铁路工人</t>
    <phoneticPr fontId="3" type="noConversion"/>
  </si>
  <si>
    <t>railway worker</t>
    <phoneticPr fontId="3" type="noConversion"/>
  </si>
  <si>
    <t>随机选取</t>
    <phoneticPr fontId="3" type="noConversion"/>
  </si>
  <si>
    <t>random selection</t>
    <phoneticPr fontId="3" type="noConversion"/>
  </si>
  <si>
    <t>Chapter5 Test Paper 9</t>
    <phoneticPr fontId="3" type="noConversion"/>
  </si>
  <si>
    <t>英语水平的范围</t>
    <phoneticPr fontId="3" type="noConversion"/>
  </si>
  <si>
    <t>range of English level</t>
    <phoneticPr fontId="3" type="noConversion"/>
  </si>
  <si>
    <t>快速人口增长</t>
    <phoneticPr fontId="3" type="noConversion"/>
  </si>
  <si>
    <t>rapid population growth</t>
    <phoneticPr fontId="3" type="noConversion"/>
  </si>
  <si>
    <t>原材料</t>
    <phoneticPr fontId="3" type="noConversion"/>
  </si>
  <si>
    <t>raw materials</t>
    <phoneticPr fontId="3" type="noConversion"/>
  </si>
  <si>
    <t>罕见的狮子</t>
    <phoneticPr fontId="3" type="noConversion"/>
  </si>
  <si>
    <t>rare lions</t>
    <phoneticPr fontId="3" type="noConversion"/>
  </si>
  <si>
    <t>稀有物种</t>
    <phoneticPr fontId="3" type="noConversion"/>
  </si>
  <si>
    <t>rare species</t>
    <phoneticPr fontId="3" type="noConversion"/>
  </si>
  <si>
    <t>稀有鱼类</t>
    <phoneticPr fontId="3" type="noConversion"/>
  </si>
  <si>
    <t>rare fish</t>
    <phoneticPr fontId="3" type="noConversion"/>
  </si>
  <si>
    <t>reach one's destination</t>
    <phoneticPr fontId="3" type="noConversion"/>
  </si>
  <si>
    <t>读者</t>
    <phoneticPr fontId="3" type="noConversion"/>
  </si>
  <si>
    <t>readers</t>
    <phoneticPr fontId="3" type="noConversion"/>
  </si>
  <si>
    <t>阅读习惯</t>
    <phoneticPr fontId="3" type="noConversion"/>
  </si>
  <si>
    <t>reading habits</t>
    <phoneticPr fontId="3" type="noConversion"/>
  </si>
  <si>
    <t>阅读技巧</t>
    <phoneticPr fontId="3" type="noConversion"/>
  </si>
  <si>
    <t>reading hits</t>
    <phoneticPr fontId="3" type="noConversion"/>
  </si>
  <si>
    <t>书单，阅读清单</t>
    <phoneticPr fontId="3" type="noConversion"/>
  </si>
  <si>
    <t>reading list</t>
    <phoneticPr fontId="3" type="noConversion"/>
  </si>
  <si>
    <t>阅读课</t>
    <phoneticPr fontId="3" type="noConversion"/>
  </si>
  <si>
    <t>reading session</t>
    <phoneticPr fontId="3" type="noConversion"/>
  </si>
  <si>
    <t>要求归还图书馆图书</t>
    <phoneticPr fontId="3" type="noConversion"/>
  </si>
  <si>
    <t>recall library books</t>
    <phoneticPr fontId="3" type="noConversion"/>
  </si>
  <si>
    <t>图书查询系统</t>
    <phoneticPr fontId="3" type="noConversion"/>
  </si>
  <si>
    <t>recall system</t>
    <phoneticPr fontId="3" type="noConversion"/>
  </si>
  <si>
    <t>收到奖品</t>
    <phoneticPr fontId="3" type="noConversion"/>
  </si>
  <si>
    <t>receive prizes</t>
    <phoneticPr fontId="3" type="noConversion"/>
  </si>
  <si>
    <t>接待处</t>
    <phoneticPr fontId="3" type="noConversion"/>
  </si>
  <si>
    <t>reception area</t>
    <phoneticPr fontId="3" type="noConversion"/>
  </si>
  <si>
    <t>reception centre</t>
    <phoneticPr fontId="3" type="noConversion"/>
  </si>
  <si>
    <t>reception desk</t>
    <phoneticPr fontId="3" type="noConversion"/>
  </si>
  <si>
    <t>娱乐疗法</t>
    <phoneticPr fontId="3" type="noConversion"/>
  </si>
  <si>
    <t>recreation therapy</t>
    <phoneticPr fontId="3" type="noConversion"/>
  </si>
  <si>
    <t>招聘方法</t>
    <phoneticPr fontId="3" type="noConversion"/>
  </si>
  <si>
    <t>recruiting method</t>
    <phoneticPr fontId="3" type="noConversion"/>
  </si>
  <si>
    <t>回收材料</t>
    <phoneticPr fontId="3" type="noConversion"/>
  </si>
  <si>
    <t>recycling material</t>
    <phoneticPr fontId="3" type="noConversion"/>
  </si>
  <si>
    <t>一家保险公司的名称</t>
    <phoneticPr fontId="3" type="noConversion"/>
  </si>
  <si>
    <t>red flag</t>
    <phoneticPr fontId="3" type="noConversion"/>
  </si>
  <si>
    <t>红袋鼠</t>
    <phoneticPr fontId="3" type="noConversion"/>
  </si>
  <si>
    <t>red kangaroo</t>
    <phoneticPr fontId="3" type="noConversion"/>
  </si>
  <si>
    <t>红肉</t>
    <phoneticPr fontId="3" type="noConversion"/>
  </si>
  <si>
    <t>red meat</t>
    <phoneticPr fontId="3" type="noConversion"/>
  </si>
  <si>
    <t>参考书目</t>
    <phoneticPr fontId="3" type="noConversion"/>
  </si>
  <si>
    <t>reference books</t>
    <phoneticPr fontId="3" type="noConversion"/>
  </si>
  <si>
    <t>参考技能</t>
    <phoneticPr fontId="3" type="noConversion"/>
  </si>
  <si>
    <t>reference skills</t>
    <phoneticPr fontId="3" type="noConversion"/>
  </si>
  <si>
    <t>书库</t>
    <phoneticPr fontId="3" type="noConversion"/>
  </si>
  <si>
    <t>reference stacks</t>
    <phoneticPr fontId="3" type="noConversion"/>
  </si>
  <si>
    <t>进修课</t>
    <phoneticPr fontId="3" type="noConversion"/>
  </si>
  <si>
    <t>refresher course</t>
    <phoneticPr fontId="3" type="noConversion"/>
  </si>
  <si>
    <t>挂号信</t>
    <phoneticPr fontId="3" type="noConversion"/>
  </si>
  <si>
    <t>registered mail</t>
    <phoneticPr fontId="3" type="noConversion"/>
  </si>
  <si>
    <t>定期召开的会议</t>
    <phoneticPr fontId="3" type="noConversion"/>
  </si>
  <si>
    <t>regular meetings</t>
    <phoneticPr fontId="3" type="noConversion"/>
  </si>
  <si>
    <t>规则</t>
    <phoneticPr fontId="3" type="noConversion"/>
  </si>
  <si>
    <t>regulations</t>
    <phoneticPr fontId="3" type="noConversion"/>
  </si>
  <si>
    <t>由木头和钢材加固</t>
    <phoneticPr fontId="3" type="noConversion"/>
  </si>
  <si>
    <t>reinforced by wood and steel</t>
    <phoneticPr fontId="3" type="noConversion"/>
  </si>
  <si>
    <t>relate to</t>
    <phoneticPr fontId="3" type="noConversion"/>
  </si>
  <si>
    <t>保持稳定</t>
    <phoneticPr fontId="3" type="noConversion"/>
  </si>
  <si>
    <t>remain steady</t>
    <phoneticPr fontId="3" type="noConversion"/>
  </si>
  <si>
    <t>换工作</t>
    <phoneticPr fontId="3" type="noConversion"/>
  </si>
  <si>
    <t>replacement of jobs</t>
    <phoneticPr fontId="3" type="noConversion"/>
  </si>
  <si>
    <t>替代政策</t>
    <phoneticPr fontId="3" type="noConversion"/>
  </si>
  <si>
    <t>replacement policy</t>
    <phoneticPr fontId="3" type="noConversion"/>
  </si>
  <si>
    <t>required course</t>
    <phoneticPr fontId="3" type="noConversion"/>
  </si>
  <si>
    <t>研究方法</t>
    <phoneticPr fontId="3" type="noConversion"/>
  </si>
  <si>
    <t>research approach</t>
    <phoneticPr fontId="3" type="noConversion"/>
  </si>
  <si>
    <t>助理研究员</t>
    <phoneticPr fontId="3" type="noConversion"/>
  </si>
  <si>
    <t>研究结果</t>
    <phoneticPr fontId="3" type="noConversion"/>
  </si>
  <si>
    <t>research findings</t>
    <phoneticPr fontId="3" type="noConversion"/>
  </si>
  <si>
    <t>科研方法</t>
    <phoneticPr fontId="3" type="noConversion"/>
  </si>
  <si>
    <t>research methods</t>
    <phoneticPr fontId="3" type="noConversion"/>
  </si>
  <si>
    <t>科研机会</t>
    <phoneticPr fontId="3" type="noConversion"/>
  </si>
  <si>
    <t>research opportunities</t>
    <phoneticPr fontId="3" type="noConversion"/>
  </si>
  <si>
    <t>research results</t>
    <phoneticPr fontId="3" type="noConversion"/>
  </si>
  <si>
    <t>研究来源</t>
    <phoneticPr fontId="3" type="noConversion"/>
  </si>
  <si>
    <t>research source</t>
    <phoneticPr fontId="3" type="noConversion"/>
  </si>
  <si>
    <t>resident student</t>
    <phoneticPr fontId="3" type="noConversion"/>
  </si>
  <si>
    <t>大学里的寄宿学校</t>
    <phoneticPr fontId="3" type="noConversion"/>
  </si>
  <si>
    <t>residential college</t>
    <phoneticPr fontId="3" type="noConversion"/>
  </si>
  <si>
    <t>来自家长的反对</t>
    <phoneticPr fontId="3" type="noConversion"/>
  </si>
  <si>
    <t>resistance from parents</t>
    <phoneticPr fontId="3" type="noConversion"/>
  </si>
  <si>
    <t>资源管理</t>
    <phoneticPr fontId="3" type="noConversion"/>
  </si>
  <si>
    <t>resource management</t>
    <phoneticPr fontId="3" type="noConversion"/>
  </si>
  <si>
    <t>资源保护</t>
    <phoneticPr fontId="3" type="noConversion"/>
  </si>
  <si>
    <t>resource protection</t>
    <phoneticPr fontId="3" type="noConversion"/>
  </si>
  <si>
    <t>资源共享</t>
    <phoneticPr fontId="3" type="noConversion"/>
  </si>
  <si>
    <t>resource sharing</t>
    <phoneticPr fontId="3" type="noConversion"/>
  </si>
  <si>
    <t>资源中心</t>
    <phoneticPr fontId="3" type="noConversion"/>
  </si>
  <si>
    <t>resources room</t>
    <phoneticPr fontId="3" type="noConversion"/>
  </si>
  <si>
    <t>保护当地环境</t>
    <phoneticPr fontId="3" type="noConversion"/>
  </si>
  <si>
    <t>respect the local environment</t>
    <phoneticPr fontId="3" type="noConversion"/>
  </si>
  <si>
    <t>归因于</t>
    <phoneticPr fontId="3" type="noConversion"/>
  </si>
  <si>
    <t>result from</t>
    <phoneticPr fontId="3" type="noConversion"/>
  </si>
  <si>
    <t>导致</t>
    <phoneticPr fontId="3" type="noConversion"/>
  </si>
  <si>
    <t>result in</t>
    <phoneticPr fontId="3" type="noConversion"/>
  </si>
  <si>
    <t>文献综述</t>
    <phoneticPr fontId="3" type="noConversion"/>
  </si>
  <si>
    <t>review of literature</t>
    <phoneticPr fontId="3" type="noConversion"/>
  </si>
  <si>
    <t>立刻复习</t>
    <phoneticPr fontId="3" type="noConversion"/>
  </si>
  <si>
    <t>review promptly</t>
    <phoneticPr fontId="3" type="noConversion"/>
  </si>
  <si>
    <t>水稻培养</t>
    <phoneticPr fontId="3" type="noConversion"/>
  </si>
  <si>
    <t>rice cultivation</t>
    <phoneticPr fontId="3" type="noConversion"/>
  </si>
  <si>
    <t>河边餐厅</t>
    <phoneticPr fontId="3" type="noConversion"/>
  </si>
  <si>
    <t>Riverside Restaurant</t>
    <phoneticPr fontId="3" type="noConversion"/>
  </si>
  <si>
    <t>玫瑰小巷</t>
    <phoneticPr fontId="3" type="noConversion"/>
  </si>
  <si>
    <t>rose lane</t>
    <phoneticPr fontId="3" type="noConversion"/>
  </si>
  <si>
    <t>机器人</t>
    <phoneticPr fontId="3" type="noConversion"/>
  </si>
  <si>
    <t>robots</t>
    <phoneticPr fontId="3" type="noConversion"/>
  </si>
  <si>
    <t>岩盐</t>
    <phoneticPr fontId="3" type="noConversion"/>
  </si>
  <si>
    <t>rock salt</t>
    <phoneticPr fontId="3" type="noConversion"/>
  </si>
  <si>
    <t>romance story</t>
    <phoneticPr fontId="3" type="noConversion"/>
  </si>
  <si>
    <t>玫瑰花园</t>
    <phoneticPr fontId="3" type="noConversion"/>
  </si>
  <si>
    <t>Rose Garden</t>
    <phoneticPr fontId="3" type="noConversion"/>
  </si>
  <si>
    <t>联排房屋</t>
    <phoneticPr fontId="3" type="noConversion"/>
  </si>
  <si>
    <t>row house</t>
    <phoneticPr fontId="3" type="noConversion"/>
  </si>
  <si>
    <t>往返票</t>
    <phoneticPr fontId="3" type="noConversion"/>
  </si>
  <si>
    <t>round trip ticket</t>
    <phoneticPr fontId="3" type="noConversion"/>
  </si>
  <si>
    <t>往返</t>
    <phoneticPr fontId="3" type="noConversion"/>
  </si>
  <si>
    <t>round trip</t>
    <phoneticPr fontId="3" type="noConversion"/>
  </si>
  <si>
    <t>路线图</t>
    <phoneticPr fontId="3" type="noConversion"/>
  </si>
  <si>
    <t>route map</t>
    <phoneticPr fontId="3" type="noConversion"/>
  </si>
  <si>
    <t>道路图</t>
    <phoneticPr fontId="3" type="noConversion"/>
  </si>
  <si>
    <t>road map</t>
    <phoneticPr fontId="3" type="noConversion"/>
  </si>
  <si>
    <t>皇家委员会</t>
    <phoneticPr fontId="3" type="noConversion"/>
  </si>
  <si>
    <t>royal commission</t>
    <phoneticPr fontId="3" type="noConversion"/>
  </si>
  <si>
    <t>橡胶毯</t>
    <phoneticPr fontId="3" type="noConversion"/>
  </si>
  <si>
    <t>rubber blanket</t>
    <phoneticPr fontId="3" type="noConversion"/>
  </si>
  <si>
    <t>橡胶树</t>
    <phoneticPr fontId="3" type="noConversion"/>
  </si>
  <si>
    <t>rubber tree</t>
    <phoneticPr fontId="3" type="noConversion"/>
  </si>
  <si>
    <t>规章制度</t>
    <phoneticPr fontId="3" type="noConversion"/>
  </si>
  <si>
    <t>rules and regulations</t>
    <phoneticPr fontId="3" type="noConversion"/>
  </si>
  <si>
    <t>冒风险</t>
    <phoneticPr fontId="3" type="noConversion"/>
  </si>
  <si>
    <t>run risks</t>
    <phoneticPr fontId="3" type="noConversion"/>
  </si>
  <si>
    <t>跑步的设施</t>
    <phoneticPr fontId="3" type="noConversion"/>
  </si>
  <si>
    <t>running facilities</t>
    <phoneticPr fontId="3" type="noConversion"/>
  </si>
  <si>
    <t>行车隧道</t>
    <phoneticPr fontId="3" type="noConversion"/>
  </si>
  <si>
    <t>running tunnel</t>
    <phoneticPr fontId="3" type="noConversion"/>
  </si>
  <si>
    <t>乡下地区</t>
    <phoneticPr fontId="3" type="noConversion"/>
  </si>
  <si>
    <t>rural area</t>
    <phoneticPr fontId="3" type="noConversion"/>
  </si>
  <si>
    <t>员工的角色</t>
    <phoneticPr fontId="3" type="noConversion"/>
  </si>
  <si>
    <t>role of staff</t>
    <phoneticPr fontId="3" type="noConversion"/>
  </si>
  <si>
    <t>交通高峰期</t>
    <phoneticPr fontId="3" type="noConversion"/>
  </si>
  <si>
    <t>rush hour</t>
    <phoneticPr fontId="3" type="noConversion"/>
  </si>
  <si>
    <t>安全检查</t>
    <phoneticPr fontId="3" type="noConversion"/>
  </si>
  <si>
    <t>safety check</t>
    <phoneticPr fontId="3" type="noConversion"/>
  </si>
  <si>
    <t>安全头盔</t>
    <phoneticPr fontId="3" type="noConversion"/>
  </si>
  <si>
    <t>safety helmet</t>
    <phoneticPr fontId="3" type="noConversion"/>
  </si>
  <si>
    <t>safety helmets</t>
    <phoneticPr fontId="3" type="noConversion"/>
  </si>
  <si>
    <t>销售小组</t>
    <phoneticPr fontId="3" type="noConversion"/>
  </si>
  <si>
    <t>sales team</t>
    <phoneticPr fontId="3" type="noConversion"/>
  </si>
  <si>
    <t>保卫处</t>
    <phoneticPr fontId="3" type="noConversion"/>
  </si>
  <si>
    <t>safety office</t>
    <phoneticPr fontId="3" type="noConversion"/>
  </si>
  <si>
    <t>安全规则</t>
    <phoneticPr fontId="3" type="noConversion"/>
  </si>
  <si>
    <t>safety regulations</t>
    <phoneticPr fontId="3" type="noConversion"/>
  </si>
  <si>
    <t>CD名称</t>
    <phoneticPr fontId="3" type="noConversion"/>
  </si>
  <si>
    <t>Silent Island</t>
    <phoneticPr fontId="3" type="noConversion"/>
  </si>
  <si>
    <t>沙漏</t>
    <phoneticPr fontId="3" type="noConversion"/>
  </si>
  <si>
    <t>sandglass clock</t>
    <phoneticPr fontId="3" type="noConversion"/>
  </si>
  <si>
    <t>卫星电视台</t>
    <phoneticPr fontId="3" type="noConversion"/>
  </si>
  <si>
    <t>satellite TV station</t>
    <phoneticPr fontId="3" type="noConversion"/>
  </si>
  <si>
    <t>文理学院</t>
    <phoneticPr fontId="3" type="noConversion"/>
  </si>
  <si>
    <t>School of Arts and Sciences</t>
    <phoneticPr fontId="3" type="noConversion"/>
  </si>
  <si>
    <t>校服</t>
    <phoneticPr fontId="3" type="noConversion"/>
  </si>
  <si>
    <t>school uniform</t>
    <phoneticPr fontId="3" type="noConversion"/>
  </si>
  <si>
    <t>科幻片</t>
    <phoneticPr fontId="3" type="noConversion"/>
  </si>
  <si>
    <t>science fiction</t>
    <phoneticPr fontId="3" type="noConversion"/>
  </si>
  <si>
    <t>科技博物馆</t>
    <phoneticPr fontId="3" type="noConversion"/>
  </si>
  <si>
    <t>science museum</t>
    <phoneticPr fontId="3" type="noConversion"/>
  </si>
  <si>
    <t>科学方法</t>
    <phoneticPr fontId="3" type="noConversion"/>
  </si>
  <si>
    <t>scientific approach</t>
    <phoneticPr fontId="3" type="noConversion"/>
  </si>
  <si>
    <t>科学研究</t>
    <phoneticPr fontId="3" type="noConversion"/>
  </si>
  <si>
    <t>scientific research</t>
    <phoneticPr fontId="3" type="noConversion"/>
  </si>
  <si>
    <t>分数</t>
    <phoneticPr fontId="3" type="noConversion"/>
  </si>
  <si>
    <t>scores</t>
    <phoneticPr fontId="3" type="noConversion"/>
  </si>
  <si>
    <t>海濑</t>
    <phoneticPr fontId="3" type="noConversion"/>
  </si>
  <si>
    <t>sea otter</t>
    <phoneticPr fontId="3" type="noConversion"/>
  </si>
  <si>
    <t>海胆</t>
    <phoneticPr fontId="3" type="noConversion"/>
  </si>
  <si>
    <t>sea urchin</t>
    <phoneticPr fontId="3" type="noConversion"/>
  </si>
  <si>
    <t>海洋监测</t>
    <phoneticPr fontId="3" type="noConversion"/>
  </si>
  <si>
    <t>sea watch</t>
    <phoneticPr fontId="3" type="noConversion"/>
  </si>
  <si>
    <t>海鲜店</t>
    <phoneticPr fontId="3" type="noConversion"/>
  </si>
  <si>
    <t>seafood restaurant</t>
    <phoneticPr fontId="3" type="noConversion"/>
  </si>
  <si>
    <t>安全带</t>
    <phoneticPr fontId="3" type="noConversion"/>
  </si>
  <si>
    <t>seat belt</t>
    <phoneticPr fontId="3" type="noConversion"/>
  </si>
  <si>
    <t>容纳观众人数</t>
    <phoneticPr fontId="3" type="noConversion"/>
  </si>
  <si>
    <t>seating capacity</t>
    <phoneticPr fontId="3" type="noConversion"/>
  </si>
  <si>
    <t>二楼（美），三楼（英）</t>
    <phoneticPr fontId="3" type="noConversion"/>
  </si>
  <si>
    <t>second floor</t>
    <phoneticPr fontId="3" type="noConversion"/>
  </si>
  <si>
    <t>二手教材</t>
    <phoneticPr fontId="3" type="noConversion"/>
  </si>
  <si>
    <t>second-hand textbooks</t>
    <phoneticPr fontId="3" type="noConversion"/>
  </si>
  <si>
    <t>中学</t>
    <phoneticPr fontId="3" type="noConversion"/>
  </si>
  <si>
    <t>secondary school</t>
    <phoneticPr fontId="3" type="noConversion"/>
  </si>
  <si>
    <t>大二学生</t>
    <phoneticPr fontId="3" type="noConversion"/>
  </si>
  <si>
    <t>second-year student</t>
    <phoneticPr fontId="3" type="noConversion"/>
  </si>
  <si>
    <t>久坐的生活方式</t>
    <phoneticPr fontId="3" type="noConversion"/>
  </si>
  <si>
    <t>sedentary lifestyle</t>
    <phoneticPr fontId="3" type="noConversion"/>
  </si>
  <si>
    <t>选择方法</t>
    <phoneticPr fontId="3" type="noConversion"/>
  </si>
  <si>
    <t>selection method</t>
    <phoneticPr fontId="3" type="noConversion"/>
  </si>
  <si>
    <t>自学实验室</t>
    <phoneticPr fontId="3" type="noConversion"/>
  </si>
  <si>
    <t>self-access lab</t>
    <phoneticPr fontId="3" type="noConversion"/>
  </si>
  <si>
    <t>自卫</t>
    <phoneticPr fontId="3" type="noConversion"/>
  </si>
  <si>
    <t>self-defense</t>
    <phoneticPr fontId="3" type="noConversion"/>
  </si>
  <si>
    <t>自助餐厅</t>
    <phoneticPr fontId="3" type="noConversion"/>
  </si>
  <si>
    <t>self-service restaurant</t>
    <phoneticPr fontId="3" type="noConversion"/>
  </si>
  <si>
    <t>资深督导师</t>
    <phoneticPr fontId="3" type="noConversion"/>
  </si>
  <si>
    <t>senior advisor</t>
    <phoneticPr fontId="3" type="noConversion"/>
  </si>
  <si>
    <t>高级经理</t>
    <phoneticPr fontId="3" type="noConversion"/>
  </si>
  <si>
    <t>senior manager</t>
    <phoneticPr fontId="3" type="noConversion"/>
  </si>
  <si>
    <t>高级员工</t>
    <phoneticPr fontId="3" type="noConversion"/>
  </si>
  <si>
    <t>senior staff</t>
    <phoneticPr fontId="3" type="noConversion"/>
  </si>
  <si>
    <t>成就感</t>
    <phoneticPr fontId="3" type="noConversion"/>
  </si>
  <si>
    <t>sense of achievement</t>
    <phoneticPr fontId="3" type="noConversion"/>
  </si>
  <si>
    <t>sense of success</t>
    <phoneticPr fontId="3" type="noConversion"/>
  </si>
  <si>
    <t>合适的运动</t>
    <phoneticPr fontId="3" type="noConversion"/>
  </si>
  <si>
    <t>sensible exercise</t>
    <phoneticPr fontId="3" type="noConversion"/>
  </si>
  <si>
    <t>句子</t>
    <phoneticPr fontId="3" type="noConversion"/>
  </si>
  <si>
    <t>sentences</t>
    <phoneticPr fontId="3" type="noConversion"/>
  </si>
  <si>
    <t>服务经理</t>
    <phoneticPr fontId="3" type="noConversion"/>
  </si>
  <si>
    <t>service manager</t>
    <phoneticPr fontId="3" type="noConversion"/>
  </si>
  <si>
    <t>存钱</t>
    <phoneticPr fontId="3" type="noConversion"/>
  </si>
  <si>
    <t>set money aside</t>
    <phoneticPr fontId="3" type="noConversion"/>
  </si>
  <si>
    <t>共用卫生间</t>
    <phoneticPr fontId="3" type="noConversion"/>
  </si>
  <si>
    <t>shared bathroom</t>
    <phoneticPr fontId="3" type="noConversion"/>
  </si>
  <si>
    <t>公共活动区</t>
    <phoneticPr fontId="3" type="noConversion"/>
  </si>
  <si>
    <t>shared social area</t>
    <phoneticPr fontId="3" type="noConversion"/>
  </si>
  <si>
    <t>剪羊毛</t>
    <phoneticPr fontId="3" type="noConversion"/>
  </si>
  <si>
    <t>shear the sheep</t>
    <phoneticPr fontId="3" type="noConversion"/>
  </si>
  <si>
    <t>羊和牛，畜群</t>
    <phoneticPr fontId="3" type="noConversion"/>
  </si>
  <si>
    <t>sheep and cattle</t>
    <phoneticPr fontId="3" type="noConversion"/>
  </si>
  <si>
    <t>sheep shearing</t>
    <phoneticPr fontId="3" type="noConversion"/>
  </si>
  <si>
    <t>倒班</t>
    <phoneticPr fontId="3" type="noConversion"/>
  </si>
  <si>
    <t>shift work</t>
    <phoneticPr fontId="3" type="noConversion"/>
  </si>
  <si>
    <t>售货员</t>
    <phoneticPr fontId="3" type="noConversion"/>
  </si>
  <si>
    <t>shop assistant</t>
    <phoneticPr fontId="3" type="noConversion"/>
  </si>
  <si>
    <t>商店经理</t>
    <phoneticPr fontId="3" type="noConversion"/>
  </si>
  <si>
    <t>shop manager</t>
    <phoneticPr fontId="3" type="noConversion"/>
  </si>
  <si>
    <t>购物中心</t>
    <phoneticPr fontId="3" type="noConversion"/>
  </si>
  <si>
    <t>shopping centre</t>
    <phoneticPr fontId="3" type="noConversion"/>
  </si>
  <si>
    <t>购物清单</t>
    <phoneticPr fontId="3" type="noConversion"/>
  </si>
  <si>
    <t>shopping list</t>
    <phoneticPr fontId="3" type="noConversion"/>
  </si>
  <si>
    <t>shopping mall</t>
    <phoneticPr fontId="3" type="noConversion"/>
  </si>
  <si>
    <t>shortage of money</t>
    <phoneticPr fontId="3" type="noConversion"/>
  </si>
  <si>
    <t>病假条</t>
    <phoneticPr fontId="3" type="noConversion"/>
  </si>
  <si>
    <t>sick note</t>
    <phoneticPr fontId="3" type="noConversion"/>
  </si>
  <si>
    <t>副作用</t>
    <phoneticPr fontId="3" type="noConversion"/>
  </si>
  <si>
    <t>side effects</t>
    <phoneticPr fontId="3" type="noConversion"/>
  </si>
  <si>
    <t>野生动物园</t>
    <phoneticPr fontId="3" type="noConversion"/>
  </si>
  <si>
    <t>safari zoo</t>
    <phoneticPr fontId="3" type="noConversion"/>
  </si>
  <si>
    <t>safari park</t>
    <phoneticPr fontId="3" type="noConversion"/>
  </si>
  <si>
    <t>相似实验</t>
    <phoneticPr fontId="3" type="noConversion"/>
  </si>
  <si>
    <t>similar experiments</t>
    <phoneticPr fontId="3" type="noConversion"/>
  </si>
  <si>
    <t>单件物品</t>
    <phoneticPr fontId="3" type="noConversion"/>
  </si>
  <si>
    <t>single item</t>
    <phoneticPr fontId="3" type="noConversion"/>
  </si>
  <si>
    <t>人口规模</t>
    <phoneticPr fontId="3" type="noConversion"/>
  </si>
  <si>
    <t>size of population</t>
    <phoneticPr fontId="3" type="noConversion"/>
  </si>
  <si>
    <t>样本的大小</t>
    <phoneticPr fontId="3" type="noConversion"/>
  </si>
  <si>
    <t>size of sample</t>
    <phoneticPr fontId="3" type="noConversion"/>
  </si>
  <si>
    <t>银布</t>
    <phoneticPr fontId="3" type="noConversion"/>
  </si>
  <si>
    <t>silver cloth</t>
    <phoneticPr fontId="3" type="noConversion"/>
  </si>
  <si>
    <t>Chapter5 Test Paper 10</t>
    <phoneticPr fontId="3" type="noConversion"/>
  </si>
  <si>
    <t>弯顶</t>
    <phoneticPr fontId="3" type="noConversion"/>
  </si>
  <si>
    <t>sky dome</t>
    <phoneticPr fontId="3" type="noConversion"/>
  </si>
  <si>
    <t>安眠药片</t>
    <phoneticPr fontId="3" type="noConversion"/>
  </si>
  <si>
    <t>sleeping pills</t>
    <phoneticPr fontId="3" type="noConversion"/>
  </si>
  <si>
    <t>嗜睡症</t>
    <phoneticPr fontId="3" type="noConversion"/>
  </si>
  <si>
    <t>sleeping sickness</t>
    <phoneticPr fontId="3" type="noConversion"/>
  </si>
  <si>
    <t>幻灯演讲</t>
    <phoneticPr fontId="3" type="noConversion"/>
  </si>
  <si>
    <t>slide presentation</t>
    <phoneticPr fontId="3" type="noConversion"/>
  </si>
  <si>
    <t>小规模</t>
    <phoneticPr fontId="3" type="noConversion"/>
  </si>
  <si>
    <t>small scale</t>
    <phoneticPr fontId="3" type="noConversion"/>
  </si>
  <si>
    <t>他下巴上的小伤疤</t>
    <phoneticPr fontId="3" type="noConversion"/>
  </si>
  <si>
    <t>small scar on his chin</t>
    <phoneticPr fontId="3" type="noConversion"/>
  </si>
  <si>
    <t>烟雾警报</t>
    <phoneticPr fontId="3" type="noConversion"/>
  </si>
  <si>
    <t>smoke alarms</t>
    <phoneticPr fontId="3" type="noConversion"/>
  </si>
  <si>
    <t>社会活动</t>
    <phoneticPr fontId="3" type="noConversion"/>
  </si>
  <si>
    <t>social activities</t>
    <phoneticPr fontId="3" type="noConversion"/>
  </si>
  <si>
    <t>人之间的隔阂</t>
    <phoneticPr fontId="3" type="noConversion"/>
  </si>
  <si>
    <t>social isolation</t>
    <phoneticPr fontId="3" type="noConversion"/>
  </si>
  <si>
    <t>社会问题</t>
    <phoneticPr fontId="3" type="noConversion"/>
  </si>
  <si>
    <t>social issues</t>
    <phoneticPr fontId="3" type="noConversion"/>
  </si>
  <si>
    <t>社会问题影响</t>
    <phoneticPr fontId="3" type="noConversion"/>
  </si>
  <si>
    <t>social matter effects</t>
    <phoneticPr fontId="3" type="noConversion"/>
  </si>
  <si>
    <t>social matters</t>
    <phoneticPr fontId="3" type="noConversion"/>
  </si>
  <si>
    <t>social problems</t>
    <phoneticPr fontId="3" type="noConversion"/>
  </si>
  <si>
    <t>社会地位</t>
    <phoneticPr fontId="3" type="noConversion"/>
  </si>
  <si>
    <t>social status</t>
    <phoneticPr fontId="3" type="noConversion"/>
  </si>
  <si>
    <t>社工</t>
    <phoneticPr fontId="3" type="noConversion"/>
  </si>
  <si>
    <t>social workers</t>
    <phoneticPr fontId="3" type="noConversion"/>
  </si>
  <si>
    <t>软饮料</t>
    <phoneticPr fontId="3" type="noConversion"/>
  </si>
  <si>
    <t>soft drinks</t>
    <phoneticPr fontId="3" type="noConversion"/>
  </si>
  <si>
    <t>软软的玩具</t>
    <phoneticPr fontId="3" type="noConversion"/>
  </si>
  <si>
    <t>soft toys</t>
    <phoneticPr fontId="3" type="noConversion"/>
  </si>
  <si>
    <t>音效</t>
    <phoneticPr fontId="3" type="noConversion"/>
  </si>
  <si>
    <t>sound effect</t>
    <phoneticPr fontId="3" type="noConversion"/>
  </si>
  <si>
    <t>太阳系</t>
    <phoneticPr fontId="3" type="noConversion"/>
  </si>
  <si>
    <t>solar system</t>
    <phoneticPr fontId="3" type="noConversion"/>
  </si>
  <si>
    <t>太阳能</t>
    <phoneticPr fontId="3" type="noConversion"/>
  </si>
  <si>
    <t>solar power</t>
    <phoneticPr fontId="3" type="noConversion"/>
  </si>
  <si>
    <t>嗓子痛</t>
    <phoneticPr fontId="3" type="noConversion"/>
  </si>
  <si>
    <t>sore throat</t>
    <phoneticPr fontId="3" type="noConversion"/>
  </si>
  <si>
    <t>业余时间</t>
    <phoneticPr fontId="3" type="noConversion"/>
  </si>
  <si>
    <t>spare time</t>
    <phoneticPr fontId="3" type="noConversion"/>
  </si>
  <si>
    <t>零件</t>
    <phoneticPr fontId="3" type="noConversion"/>
  </si>
  <si>
    <t>spare parts</t>
    <phoneticPr fontId="3" type="noConversion"/>
  </si>
  <si>
    <t>备用袜子</t>
    <phoneticPr fontId="3" type="noConversion"/>
  </si>
  <si>
    <t>spare socks</t>
    <phoneticPr fontId="3" type="noConversion"/>
  </si>
  <si>
    <t>太空飞船</t>
    <phoneticPr fontId="3" type="noConversion"/>
  </si>
  <si>
    <t>space shuttle</t>
    <phoneticPr fontId="3" type="noConversion"/>
  </si>
  <si>
    <t>特别听力设备</t>
    <phoneticPr fontId="3" type="noConversion"/>
  </si>
  <si>
    <t>special audio equipment</t>
    <phoneticPr fontId="3" type="noConversion"/>
  </si>
  <si>
    <t>特别的化学物质</t>
    <phoneticPr fontId="3" type="noConversion"/>
  </si>
  <si>
    <t>special chemicals</t>
    <phoneticPr fontId="3" type="noConversion"/>
  </si>
  <si>
    <t>速递</t>
    <phoneticPr fontId="3" type="noConversion"/>
  </si>
  <si>
    <t>special mail</t>
    <phoneticPr fontId="3" type="noConversion"/>
  </si>
  <si>
    <t>特别优惠</t>
    <phoneticPr fontId="3" type="noConversion"/>
  </si>
  <si>
    <t>special offers</t>
    <phoneticPr fontId="3" type="noConversion"/>
  </si>
  <si>
    <t>晚会戴的帽子</t>
    <phoneticPr fontId="3" type="noConversion"/>
  </si>
  <si>
    <t>special party hats</t>
    <phoneticPr fontId="3" type="noConversion"/>
  </si>
  <si>
    <t>特别规则</t>
    <phoneticPr fontId="3" type="noConversion"/>
  </si>
  <si>
    <t>special rule</t>
    <phoneticPr fontId="3" type="noConversion"/>
  </si>
  <si>
    <t>专业发动机设计</t>
    <phoneticPr fontId="3" type="noConversion"/>
  </si>
  <si>
    <t>specialist engine design</t>
    <phoneticPr fontId="3" type="noConversion"/>
  </si>
  <si>
    <t>专业课</t>
    <phoneticPr fontId="3" type="noConversion"/>
  </si>
  <si>
    <t>specialized course</t>
    <phoneticPr fontId="3" type="noConversion"/>
  </si>
  <si>
    <t>专业博物馆</t>
    <phoneticPr fontId="3" type="noConversion"/>
  </si>
  <si>
    <t>specialized museum</t>
    <phoneticPr fontId="3" type="noConversion"/>
  </si>
  <si>
    <t>专业体育设施</t>
    <phoneticPr fontId="3" type="noConversion"/>
  </si>
  <si>
    <t>specialized sports facilities</t>
    <phoneticPr fontId="3" type="noConversion"/>
  </si>
  <si>
    <t>稀有动物的种类</t>
    <phoneticPr fontId="3" type="noConversion"/>
  </si>
  <si>
    <t>species in rare animal area</t>
    <phoneticPr fontId="3" type="noConversion"/>
  </si>
  <si>
    <t>鳄鱼的种类</t>
    <phoneticPr fontId="3" type="noConversion"/>
  </si>
  <si>
    <t>species of crocodiles</t>
    <phoneticPr fontId="3" type="noConversion"/>
  </si>
  <si>
    <t>花销计划</t>
    <phoneticPr fontId="3" type="noConversion"/>
  </si>
  <si>
    <t>spending plans</t>
    <phoneticPr fontId="3" type="noConversion"/>
  </si>
  <si>
    <t>蜘蛛</t>
    <phoneticPr fontId="3" type="noConversion"/>
  </si>
  <si>
    <t>spiders</t>
    <phoneticPr fontId="3" type="noConversion"/>
  </si>
  <si>
    <t>有刺的植物</t>
    <phoneticPr fontId="3" type="noConversion"/>
  </si>
  <si>
    <t>spinous plants</t>
    <phoneticPr fontId="3" type="noConversion"/>
  </si>
  <si>
    <t>活页本</t>
    <phoneticPr fontId="3" type="noConversion"/>
  </si>
  <si>
    <t>spiral notebook</t>
    <phoneticPr fontId="3" type="noConversion"/>
  </si>
  <si>
    <t>体育用品</t>
    <phoneticPr fontId="3" type="noConversion"/>
  </si>
  <si>
    <t>sports articles</t>
    <phoneticPr fontId="3" type="noConversion"/>
  </si>
  <si>
    <t>运动服</t>
    <phoneticPr fontId="3" type="noConversion"/>
  </si>
  <si>
    <t>sports suit</t>
    <phoneticPr fontId="3" type="noConversion"/>
  </si>
  <si>
    <t>体育中心</t>
    <phoneticPr fontId="3" type="noConversion"/>
  </si>
  <si>
    <t>sports centre</t>
    <phoneticPr fontId="3" type="noConversion"/>
  </si>
  <si>
    <t>体育大厅</t>
    <phoneticPr fontId="3" type="noConversion"/>
  </si>
  <si>
    <t>sports hall</t>
    <phoneticPr fontId="3" type="noConversion"/>
  </si>
  <si>
    <t>sports shoes</t>
    <phoneticPr fontId="3" type="noConversion"/>
  </si>
  <si>
    <t>书库体系</t>
    <phoneticPr fontId="3" type="noConversion"/>
  </si>
  <si>
    <t>stack system</t>
    <phoneticPr fontId="3" type="noConversion"/>
  </si>
  <si>
    <t>stacks</t>
    <phoneticPr fontId="3" type="noConversion"/>
  </si>
  <si>
    <t>standard of education</t>
    <phoneticPr fontId="3" type="noConversion"/>
  </si>
  <si>
    <t>标准间</t>
    <phoneticPr fontId="3" type="noConversion"/>
  </si>
  <si>
    <t>standard suite</t>
    <phoneticPr fontId="3" type="noConversion"/>
  </si>
  <si>
    <t>星</t>
    <phoneticPr fontId="3" type="noConversion"/>
  </si>
  <si>
    <t>stars</t>
    <phoneticPr fontId="3" type="noConversion"/>
  </si>
  <si>
    <t>初始项目</t>
    <phoneticPr fontId="3" type="noConversion"/>
  </si>
  <si>
    <t>starter project</t>
    <phoneticPr fontId="3" type="noConversion"/>
  </si>
  <si>
    <t>起始点</t>
    <phoneticPr fontId="3" type="noConversion"/>
  </si>
  <si>
    <t>starting point</t>
    <phoneticPr fontId="3" type="noConversion"/>
  </si>
  <si>
    <t>州，状态</t>
    <phoneticPr fontId="3" type="noConversion"/>
  </si>
  <si>
    <t>states</t>
    <phoneticPr fontId="3" type="noConversion"/>
  </si>
  <si>
    <t>一套牛排刀叉</t>
    <phoneticPr fontId="3" type="noConversion"/>
  </si>
  <si>
    <t>steak set</t>
    <phoneticPr fontId="3" type="noConversion"/>
  </si>
  <si>
    <t>蒸汽船</t>
    <phoneticPr fontId="3" type="noConversion"/>
  </si>
  <si>
    <t>steam engine ship</t>
    <phoneticPr fontId="3" type="noConversion"/>
  </si>
  <si>
    <t>钢材和木头</t>
    <phoneticPr fontId="3" type="noConversion"/>
  </si>
  <si>
    <t>steel and wood</t>
    <phoneticPr fontId="3" type="noConversion"/>
  </si>
  <si>
    <t>脖子发僵</t>
    <phoneticPr fontId="3" type="noConversion"/>
  </si>
  <si>
    <t>stiff neck</t>
    <phoneticPr fontId="3" type="noConversion"/>
  </si>
  <si>
    <t>纯净水</t>
    <phoneticPr fontId="3" type="noConversion"/>
  </si>
  <si>
    <t>still water</t>
    <phoneticPr fontId="3" type="noConversion"/>
  </si>
  <si>
    <t>股票市场</t>
    <phoneticPr fontId="3" type="noConversion"/>
  </si>
  <si>
    <t>stock market</t>
    <phoneticPr fontId="3" type="noConversion"/>
  </si>
  <si>
    <t>胃和心脏</t>
    <phoneticPr fontId="3" type="noConversion"/>
  </si>
  <si>
    <t>stomach and heart</t>
    <phoneticPr fontId="3" type="noConversion"/>
  </si>
  <si>
    <t>腹肌练习</t>
    <phoneticPr fontId="3" type="noConversion"/>
  </si>
  <si>
    <t>stomach muscles training</t>
    <phoneticPr fontId="3" type="noConversion"/>
  </si>
  <si>
    <t>石头</t>
    <phoneticPr fontId="3" type="noConversion"/>
  </si>
  <si>
    <t>stones</t>
    <phoneticPr fontId="3" type="noConversion"/>
  </si>
  <si>
    <t>存储空间</t>
    <phoneticPr fontId="3" type="noConversion"/>
  </si>
  <si>
    <t>storage space</t>
    <phoneticPr fontId="3" type="noConversion"/>
  </si>
  <si>
    <t>仓库和寺庙</t>
    <phoneticPr fontId="3" type="noConversion"/>
  </si>
  <si>
    <t>storehouse and temples</t>
    <phoneticPr fontId="3" type="noConversion"/>
  </si>
  <si>
    <t>故事</t>
    <phoneticPr fontId="3" type="noConversion"/>
  </si>
  <si>
    <t>stories</t>
    <phoneticPr fontId="3" type="noConversion"/>
  </si>
  <si>
    <t>故事会</t>
    <phoneticPr fontId="3" type="noConversion"/>
  </si>
  <si>
    <t>story conference</t>
    <phoneticPr fontId="3" type="noConversion"/>
  </si>
  <si>
    <t>压力程度</t>
    <phoneticPr fontId="3" type="noConversion"/>
  </si>
  <si>
    <t>stress levels</t>
    <phoneticPr fontId="3" type="noConversion"/>
  </si>
  <si>
    <t>对压力的管理</t>
    <phoneticPr fontId="3" type="noConversion"/>
  </si>
  <si>
    <t>stress management</t>
    <phoneticPr fontId="3" type="noConversion"/>
  </si>
  <si>
    <t>有压力的</t>
    <phoneticPr fontId="3" type="noConversion"/>
  </si>
  <si>
    <t>伸展的</t>
    <phoneticPr fontId="3" type="noConversion"/>
  </si>
  <si>
    <t>拉伸移动</t>
    <phoneticPr fontId="3" type="noConversion"/>
  </si>
  <si>
    <t>stretching movements</t>
    <phoneticPr fontId="3" type="noConversion"/>
  </si>
  <si>
    <t>严格控制</t>
    <phoneticPr fontId="3" type="noConversion"/>
  </si>
  <si>
    <t>strict control</t>
    <phoneticPr fontId="3" type="noConversion"/>
  </si>
  <si>
    <t>很重的味道</t>
    <phoneticPr fontId="3" type="noConversion"/>
  </si>
  <si>
    <t>strong scent</t>
    <phoneticPr fontId="3" type="noConversion"/>
  </si>
  <si>
    <t>strong wind</t>
    <phoneticPr fontId="3" type="noConversion"/>
  </si>
  <si>
    <t>学生帐户</t>
    <phoneticPr fontId="3" type="noConversion"/>
  </si>
  <si>
    <t>student account</t>
    <phoneticPr fontId="3" type="noConversion"/>
  </si>
  <si>
    <t>学生银行业务</t>
    <phoneticPr fontId="3" type="noConversion"/>
  </si>
  <si>
    <t>student banking</t>
    <phoneticPr fontId="3" type="noConversion"/>
  </si>
  <si>
    <t>学生债务</t>
    <phoneticPr fontId="3" type="noConversion"/>
  </si>
  <si>
    <t>student debt</t>
    <phoneticPr fontId="3" type="noConversion"/>
  </si>
  <si>
    <t>学生旅店</t>
    <phoneticPr fontId="3" type="noConversion"/>
  </si>
  <si>
    <t>student hostel</t>
    <phoneticPr fontId="3" type="noConversion"/>
  </si>
  <si>
    <t>学生信息处</t>
    <phoneticPr fontId="3" type="noConversion"/>
  </si>
  <si>
    <t>student information desk</t>
    <phoneticPr fontId="3" type="noConversion"/>
  </si>
  <si>
    <t>学生代表</t>
    <phoneticPr fontId="3" type="noConversion"/>
  </si>
  <si>
    <t>student representative</t>
    <phoneticPr fontId="3" type="noConversion"/>
  </si>
  <si>
    <t>学生服务</t>
    <phoneticPr fontId="3" type="noConversion"/>
  </si>
  <si>
    <t>student service</t>
    <phoneticPr fontId="3" type="noConversion"/>
  </si>
  <si>
    <t>对学生的帮助</t>
    <phoneticPr fontId="3" type="noConversion"/>
  </si>
  <si>
    <t>student support service</t>
    <phoneticPr fontId="3" type="noConversion"/>
  </si>
  <si>
    <t>学生会</t>
    <phoneticPr fontId="3" type="noConversion"/>
  </si>
  <si>
    <t>student union</t>
    <phoneticPr fontId="3" type="noConversion"/>
  </si>
  <si>
    <t>筒子楼</t>
    <phoneticPr fontId="3" type="noConversion"/>
  </si>
  <si>
    <t>studio apartment</t>
    <phoneticPr fontId="3" type="noConversion"/>
  </si>
  <si>
    <t>教具</t>
    <phoneticPr fontId="3" type="noConversion"/>
  </si>
  <si>
    <t>study aids</t>
    <phoneticPr fontId="3" type="noConversion"/>
  </si>
  <si>
    <t>研究小组</t>
    <phoneticPr fontId="3" type="noConversion"/>
  </si>
  <si>
    <t>study circle</t>
    <phoneticPr fontId="3" type="noConversion"/>
  </si>
  <si>
    <t>学习小组</t>
    <phoneticPr fontId="3" type="noConversion"/>
  </si>
  <si>
    <t>study club</t>
    <phoneticPr fontId="3" type="noConversion"/>
  </si>
  <si>
    <t>学习技巧</t>
    <phoneticPr fontId="3" type="noConversion"/>
  </si>
  <si>
    <t>study techniques</t>
    <phoneticPr fontId="3" type="noConversion"/>
  </si>
  <si>
    <t>风格</t>
    <phoneticPr fontId="3" type="noConversion"/>
  </si>
  <si>
    <t>styles</t>
    <phoneticPr fontId="3" type="noConversion"/>
  </si>
  <si>
    <t>鼻子不通</t>
    <phoneticPr fontId="3" type="noConversion"/>
  </si>
  <si>
    <t>stuffed nose</t>
    <phoneticPr fontId="3" type="noConversion"/>
  </si>
  <si>
    <t>毛绒玩具</t>
    <phoneticPr fontId="3" type="noConversion"/>
  </si>
  <si>
    <t>stuffed toys</t>
    <phoneticPr fontId="3" type="noConversion"/>
  </si>
  <si>
    <t>钱包的材料</t>
    <phoneticPr fontId="3" type="noConversion"/>
  </si>
  <si>
    <t>stuff of purse</t>
    <phoneticPr fontId="3" type="noConversion"/>
  </si>
  <si>
    <t>主题索引</t>
    <phoneticPr fontId="3" type="noConversion"/>
  </si>
  <si>
    <t>subject access guide</t>
    <phoneticPr fontId="3" type="noConversion"/>
  </si>
  <si>
    <t>subject access</t>
    <phoneticPr fontId="3" type="noConversion"/>
  </si>
  <si>
    <t>上交文件</t>
    <phoneticPr fontId="3" type="noConversion"/>
  </si>
  <si>
    <t>submit the document</t>
    <phoneticPr fontId="3" type="noConversion"/>
  </si>
  <si>
    <t>足够多的细节</t>
    <phoneticPr fontId="3" type="noConversion"/>
  </si>
  <si>
    <t>sufficient details</t>
    <phoneticPr fontId="3" type="noConversion"/>
  </si>
  <si>
    <t>支持氛围</t>
    <phoneticPr fontId="3" type="noConversion"/>
  </si>
  <si>
    <t>supportive atmosphere</t>
    <phoneticPr fontId="3" type="noConversion"/>
  </si>
  <si>
    <t>售后服务</t>
    <phoneticPr fontId="3" type="noConversion"/>
  </si>
  <si>
    <t>support service</t>
    <phoneticPr fontId="3" type="noConversion"/>
  </si>
  <si>
    <t>太阳的位置</t>
    <phoneticPr fontId="3" type="noConversion"/>
  </si>
  <si>
    <t>sun's position</t>
    <phoneticPr fontId="3" type="noConversion"/>
  </si>
  <si>
    <t>防晒</t>
    <phoneticPr fontId="3" type="noConversion"/>
  </si>
  <si>
    <t>suntan block</t>
    <phoneticPr fontId="3" type="noConversion"/>
  </si>
  <si>
    <t>防晒霜</t>
    <phoneticPr fontId="3" type="noConversion"/>
  </si>
  <si>
    <t>sun cream</t>
    <phoneticPr fontId="3" type="noConversion"/>
  </si>
  <si>
    <t>摘要报告</t>
    <phoneticPr fontId="3" type="noConversion"/>
  </si>
  <si>
    <t>summary report</t>
    <phoneticPr fontId="3" type="noConversion"/>
  </si>
  <si>
    <t>已做的调查</t>
    <phoneticPr fontId="3" type="noConversion"/>
  </si>
  <si>
    <t>survey conducted</t>
    <phoneticPr fontId="3" type="noConversion"/>
  </si>
  <si>
    <t>阅读习惯调查</t>
    <phoneticPr fontId="3" type="noConversion"/>
  </si>
  <si>
    <t>survey of reading</t>
    <phoneticPr fontId="3" type="noConversion"/>
  </si>
  <si>
    <t>生存课程</t>
    <phoneticPr fontId="3" type="noConversion"/>
  </si>
  <si>
    <t>survival course</t>
    <phoneticPr fontId="3" type="noConversion"/>
  </si>
  <si>
    <t>游泳衣</t>
    <phoneticPr fontId="3" type="noConversion"/>
  </si>
  <si>
    <t>swimming costume</t>
    <phoneticPr fontId="3" type="noConversion"/>
  </si>
  <si>
    <t>在瀑布里游泳</t>
    <phoneticPr fontId="3" type="noConversion"/>
  </si>
  <si>
    <t>swimming in waterfall</t>
    <phoneticPr fontId="3" type="noConversion"/>
  </si>
  <si>
    <t>游泳池</t>
    <phoneticPr fontId="3" type="noConversion"/>
  </si>
  <si>
    <t>swimming pool</t>
    <phoneticPr fontId="3" type="noConversion"/>
  </si>
  <si>
    <t>swimming suit</t>
    <phoneticPr fontId="3" type="noConversion"/>
  </si>
  <si>
    <t>助教</t>
    <phoneticPr fontId="3" type="noConversion"/>
  </si>
  <si>
    <t>teaching assistant</t>
    <phoneticPr fontId="3" type="noConversion"/>
  </si>
  <si>
    <t>药片</t>
    <phoneticPr fontId="3" type="noConversion"/>
  </si>
  <si>
    <t>tablets</t>
    <phoneticPr fontId="3" type="noConversion"/>
  </si>
  <si>
    <t>记笔记</t>
    <phoneticPr fontId="3" type="noConversion"/>
  </si>
  <si>
    <t>take notes</t>
    <phoneticPr fontId="3" type="noConversion"/>
  </si>
  <si>
    <t>量血压</t>
    <phoneticPr fontId="3" type="noConversion"/>
  </si>
  <si>
    <t>take blood pressure</t>
    <phoneticPr fontId="3" type="noConversion"/>
  </si>
  <si>
    <t>量体温</t>
    <phoneticPr fontId="3" type="noConversion"/>
  </si>
  <si>
    <t>take one's temperature</t>
    <phoneticPr fontId="3" type="noConversion"/>
  </si>
  <si>
    <t>定期运动</t>
    <phoneticPr fontId="3" type="noConversion"/>
  </si>
  <si>
    <t>take regular exercise</t>
    <phoneticPr fontId="3" type="noConversion"/>
  </si>
  <si>
    <t>take risks</t>
    <phoneticPr fontId="3" type="noConversion"/>
  </si>
  <si>
    <t>出租车站</t>
    <phoneticPr fontId="3" type="noConversion"/>
  </si>
  <si>
    <t>taxi stand</t>
    <phoneticPr fontId="3" type="noConversion"/>
  </si>
  <si>
    <t>术语</t>
    <phoneticPr fontId="3" type="noConversion"/>
  </si>
  <si>
    <t>technical vocabulary</t>
    <phoneticPr fontId="3" type="noConversion"/>
  </si>
  <si>
    <t>技校</t>
    <phoneticPr fontId="3" type="noConversion"/>
  </si>
  <si>
    <t>technical institution</t>
    <phoneticPr fontId="3" type="noConversion"/>
  </si>
  <si>
    <t>教师俱乐部</t>
    <phoneticPr fontId="3" type="noConversion"/>
  </si>
  <si>
    <t>teaching club</t>
    <phoneticPr fontId="3" type="noConversion"/>
  </si>
  <si>
    <t>学时</t>
    <phoneticPr fontId="3" type="noConversion"/>
  </si>
  <si>
    <t>teaching hours</t>
    <phoneticPr fontId="3" type="noConversion"/>
  </si>
  <si>
    <t>教学法</t>
    <phoneticPr fontId="3" type="noConversion"/>
  </si>
  <si>
    <t>teaching method</t>
    <phoneticPr fontId="3" type="noConversion"/>
  </si>
  <si>
    <t>teaching staff</t>
    <phoneticPr fontId="3" type="noConversion"/>
  </si>
  <si>
    <t>教学大纲</t>
    <phoneticPr fontId="3" type="noConversion"/>
  </si>
  <si>
    <t>teaching syllabus</t>
    <phoneticPr fontId="3" type="noConversion"/>
  </si>
  <si>
    <t>老师和院系情况</t>
    <phoneticPr fontId="3" type="noConversion"/>
  </si>
  <si>
    <t>teachers and faculty</t>
    <phoneticPr fontId="3" type="noConversion"/>
  </si>
  <si>
    <t>录音机</t>
    <phoneticPr fontId="3" type="noConversion"/>
  </si>
  <si>
    <t>tape recorder</t>
    <phoneticPr fontId="3" type="noConversion"/>
  </si>
  <si>
    <t>电话调查</t>
    <phoneticPr fontId="3" type="noConversion"/>
  </si>
  <si>
    <t>telephone survey</t>
    <phoneticPr fontId="3" type="noConversion"/>
  </si>
  <si>
    <t>电视戏剧</t>
    <phoneticPr fontId="3" type="noConversion"/>
  </si>
  <si>
    <t>television drama</t>
    <phoneticPr fontId="3" type="noConversion"/>
  </si>
  <si>
    <t>寺庙的墙</t>
    <phoneticPr fontId="3" type="noConversion"/>
  </si>
  <si>
    <t>temple wall</t>
    <phoneticPr fontId="3" type="noConversion"/>
  </si>
  <si>
    <t>寺庙</t>
    <phoneticPr fontId="3" type="noConversion"/>
  </si>
  <si>
    <t>temples</t>
    <phoneticPr fontId="3" type="noConversion"/>
  </si>
  <si>
    <t>网球俱乐部</t>
    <phoneticPr fontId="3" type="noConversion"/>
  </si>
  <si>
    <t>tennis club</t>
    <phoneticPr fontId="3" type="noConversion"/>
  </si>
  <si>
    <t>terraced house</t>
    <phoneticPr fontId="3" type="noConversion"/>
  </si>
  <si>
    <t>地热</t>
    <phoneticPr fontId="3" type="noConversion"/>
  </si>
  <si>
    <t>terrestrial heat</t>
    <phoneticPr fontId="3" type="noConversion"/>
  </si>
  <si>
    <t>tertiary education</t>
    <phoneticPr fontId="3" type="noConversion"/>
  </si>
  <si>
    <t>文章结构</t>
    <phoneticPr fontId="3" type="noConversion"/>
  </si>
  <si>
    <t>text structure</t>
    <phoneticPr fontId="3" type="noConversion"/>
  </si>
  <si>
    <t>教材补贴</t>
    <phoneticPr fontId="3" type="noConversion"/>
  </si>
  <si>
    <t>textbook allowance</t>
    <phoneticPr fontId="3" type="noConversion"/>
  </si>
  <si>
    <t>市场部</t>
    <phoneticPr fontId="3" type="noConversion"/>
  </si>
  <si>
    <t>the marketing department</t>
    <phoneticPr fontId="3" type="noConversion"/>
  </si>
  <si>
    <t>残疾人</t>
    <phoneticPr fontId="3" type="noConversion"/>
  </si>
  <si>
    <t>the disabled</t>
    <phoneticPr fontId="3" type="noConversion"/>
  </si>
  <si>
    <t>老人</t>
    <phoneticPr fontId="3" type="noConversion"/>
  </si>
  <si>
    <t>the old</t>
    <phoneticPr fontId="3" type="noConversion"/>
  </si>
  <si>
    <t>穷人</t>
    <phoneticPr fontId="3" type="noConversion"/>
  </si>
  <si>
    <t>the poor</t>
    <phoneticPr fontId="3" type="noConversion"/>
  </si>
  <si>
    <t>银河</t>
    <phoneticPr fontId="3" type="noConversion"/>
  </si>
  <si>
    <t>the Milky Way</t>
    <phoneticPr fontId="3" type="noConversion"/>
  </si>
  <si>
    <t>Chapter5 Test Paper 11</t>
    <phoneticPr fontId="3" type="noConversion"/>
  </si>
  <si>
    <t>主题公园</t>
    <phoneticPr fontId="3" type="noConversion"/>
  </si>
  <si>
    <t>theme garden</t>
    <phoneticPr fontId="3" type="noConversion"/>
  </si>
  <si>
    <t>项目主题</t>
    <phoneticPr fontId="3" type="noConversion"/>
  </si>
  <si>
    <t>theme of project</t>
    <phoneticPr fontId="3" type="noConversion"/>
  </si>
  <si>
    <t>theme park</t>
    <phoneticPr fontId="3" type="noConversion"/>
  </si>
  <si>
    <t>理论背景</t>
    <phoneticPr fontId="3" type="noConversion"/>
  </si>
  <si>
    <t>theoretical background</t>
    <phoneticPr fontId="3" type="noConversion"/>
  </si>
  <si>
    <t>理论架构</t>
    <phoneticPr fontId="3" type="noConversion"/>
  </si>
  <si>
    <t>theoretical framework</t>
    <phoneticPr fontId="3" type="noConversion"/>
  </si>
  <si>
    <t>虎鲨</t>
    <phoneticPr fontId="3" type="noConversion"/>
  </si>
  <si>
    <t>tiger shark</t>
    <phoneticPr fontId="3" type="noConversion"/>
  </si>
  <si>
    <t>理论章节</t>
    <phoneticPr fontId="3" type="noConversion"/>
  </si>
  <si>
    <t>theory chapters</t>
    <phoneticPr fontId="3" type="noConversion"/>
  </si>
  <si>
    <t>应用理论</t>
    <phoneticPr fontId="3" type="noConversion"/>
  </si>
  <si>
    <t>theory of application</t>
    <phoneticPr fontId="3" type="noConversion"/>
  </si>
  <si>
    <t>治疗方法</t>
    <phoneticPr fontId="3" type="noConversion"/>
  </si>
  <si>
    <t>therapy method</t>
    <phoneticPr fontId="3" type="noConversion"/>
  </si>
  <si>
    <t>耕地</t>
    <phoneticPr fontId="3" type="noConversion"/>
  </si>
  <si>
    <t>tilled land</t>
    <phoneticPr fontId="3" type="noConversion"/>
  </si>
  <si>
    <t>三楼</t>
    <phoneticPr fontId="3" type="noConversion"/>
  </si>
  <si>
    <t>third floor</t>
    <phoneticPr fontId="3" type="noConversion"/>
  </si>
  <si>
    <t>大三学生</t>
    <phoneticPr fontId="3" type="noConversion"/>
  </si>
  <si>
    <t>third-year student</t>
    <phoneticPr fontId="3" type="noConversion"/>
  </si>
  <si>
    <t>思维模式</t>
    <phoneticPr fontId="3" type="noConversion"/>
  </si>
  <si>
    <t>thinking pattern</t>
    <phoneticPr fontId="3" type="noConversion"/>
  </si>
  <si>
    <t>思考方式</t>
    <phoneticPr fontId="3" type="noConversion"/>
  </si>
  <si>
    <t>way of thinking</t>
    <phoneticPr fontId="3" type="noConversion"/>
  </si>
  <si>
    <t>时间表</t>
    <phoneticPr fontId="3" type="noConversion"/>
  </si>
  <si>
    <t>timetable</t>
    <phoneticPr fontId="3" type="noConversion"/>
  </si>
  <si>
    <t>对时间进行测量</t>
    <phoneticPr fontId="3" type="noConversion"/>
  </si>
  <si>
    <t>time measurement</t>
    <phoneticPr fontId="3" type="noConversion"/>
  </si>
  <si>
    <t>时间先后顺序</t>
    <phoneticPr fontId="3" type="noConversion"/>
  </si>
  <si>
    <t>time priority</t>
    <phoneticPr fontId="3" type="noConversion"/>
  </si>
  <si>
    <t>时间管理课</t>
    <phoneticPr fontId="3" type="noConversion"/>
  </si>
  <si>
    <t>time management</t>
    <phoneticPr fontId="3" type="noConversion"/>
  </si>
  <si>
    <t>论文标题</t>
    <phoneticPr fontId="3" type="noConversion"/>
  </si>
  <si>
    <t>title of essay</t>
    <phoneticPr fontId="3" type="noConversion"/>
  </si>
  <si>
    <t>从某种程度上说</t>
    <phoneticPr fontId="3" type="noConversion"/>
  </si>
  <si>
    <t>to some degree</t>
    <phoneticPr fontId="3" type="noConversion"/>
  </si>
  <si>
    <t>在某种程度上</t>
    <phoneticPr fontId="3" type="noConversion"/>
  </si>
  <si>
    <t>to some extent</t>
    <phoneticPr fontId="3" type="noConversion"/>
  </si>
  <si>
    <t>卫生间设施</t>
    <phoneticPr fontId="3" type="noConversion"/>
  </si>
  <si>
    <t>toilet facilities</t>
    <phoneticPr fontId="3" type="noConversion"/>
  </si>
  <si>
    <t>工作负荷大</t>
    <phoneticPr fontId="3" type="noConversion"/>
  </si>
  <si>
    <t>too much work</t>
    <phoneticPr fontId="3" type="noConversion"/>
  </si>
  <si>
    <t>西红柿</t>
    <phoneticPr fontId="3" type="noConversion"/>
  </si>
  <si>
    <t>tomatoes</t>
    <phoneticPr fontId="3" type="noConversion"/>
  </si>
  <si>
    <t>语调</t>
    <phoneticPr fontId="3" type="noConversion"/>
  </si>
  <si>
    <t>tones</t>
    <phoneticPr fontId="3" type="noConversion"/>
  </si>
  <si>
    <t>最高的架子</t>
    <phoneticPr fontId="3" type="noConversion"/>
  </si>
  <si>
    <t>top shelf</t>
    <phoneticPr fontId="3" type="noConversion"/>
  </si>
  <si>
    <t>十大畅销品</t>
    <phoneticPr fontId="3" type="noConversion"/>
  </si>
  <si>
    <t>top ten</t>
    <phoneticPr fontId="3" type="noConversion"/>
  </si>
  <si>
    <t>接触岩石</t>
    <phoneticPr fontId="3" type="noConversion"/>
  </si>
  <si>
    <t>touching rocks</t>
    <phoneticPr fontId="3" type="noConversion"/>
  </si>
  <si>
    <t>导游</t>
    <phoneticPr fontId="3" type="noConversion"/>
  </si>
  <si>
    <t>tour guide</t>
    <phoneticPr fontId="3" type="noConversion"/>
  </si>
  <si>
    <t>旅游组织</t>
    <phoneticPr fontId="3" type="noConversion"/>
  </si>
  <si>
    <t>tourism organization</t>
    <phoneticPr fontId="3" type="noConversion"/>
  </si>
  <si>
    <t>游客手册</t>
    <phoneticPr fontId="3" type="noConversion"/>
  </si>
  <si>
    <t>tourist brochures</t>
    <phoneticPr fontId="3" type="noConversion"/>
  </si>
  <si>
    <t>市政厅</t>
    <phoneticPr fontId="3" type="noConversion"/>
  </si>
  <si>
    <t>Town Hall</t>
    <phoneticPr fontId="3" type="noConversion"/>
  </si>
  <si>
    <t>玩具工厂</t>
    <phoneticPr fontId="3" type="noConversion"/>
  </si>
  <si>
    <t>toy factory</t>
    <phoneticPr fontId="3" type="noConversion"/>
  </si>
  <si>
    <t>车流，车流量</t>
    <phoneticPr fontId="3" type="noConversion"/>
  </si>
  <si>
    <t>traffic flow</t>
    <phoneticPr fontId="3" type="noConversion"/>
  </si>
  <si>
    <t>交通堵塞</t>
    <phoneticPr fontId="3" type="noConversion"/>
  </si>
  <si>
    <t>traffic jam</t>
    <phoneticPr fontId="3" type="noConversion"/>
  </si>
  <si>
    <t>交通灯</t>
    <phoneticPr fontId="3" type="noConversion"/>
  </si>
  <si>
    <t>traffic lights</t>
    <phoneticPr fontId="3" type="noConversion"/>
  </si>
  <si>
    <t>交通规则</t>
    <phoneticPr fontId="3" type="noConversion"/>
  </si>
  <si>
    <t>traffic rules</t>
    <phoneticPr fontId="3" type="noConversion"/>
  </si>
  <si>
    <t>交通安全</t>
    <phoneticPr fontId="3" type="noConversion"/>
  </si>
  <si>
    <t>traffic safety</t>
    <phoneticPr fontId="3" type="noConversion"/>
  </si>
  <si>
    <t>公交卡</t>
    <phoneticPr fontId="3" type="noConversion"/>
  </si>
  <si>
    <t>transportation card</t>
    <phoneticPr fontId="3" type="noConversion"/>
  </si>
  <si>
    <t>旅行社</t>
    <phoneticPr fontId="3" type="noConversion"/>
  </si>
  <si>
    <t>travel agency</t>
    <phoneticPr fontId="3" type="noConversion"/>
  </si>
  <si>
    <t>旅行打包行程</t>
    <phoneticPr fontId="3" type="noConversion"/>
  </si>
  <si>
    <t>travel package</t>
    <phoneticPr fontId="3" type="noConversion"/>
  </si>
  <si>
    <t>旅行支票</t>
    <phoneticPr fontId="3" type="noConversion"/>
  </si>
  <si>
    <t>traveller's check</t>
    <phoneticPr fontId="3" type="noConversion"/>
  </si>
  <si>
    <t>treatment method</t>
    <phoneticPr fontId="3" type="noConversion"/>
  </si>
  <si>
    <t>三一学院</t>
    <phoneticPr fontId="3" type="noConversion"/>
  </si>
  <si>
    <t>Trinity College</t>
    <phoneticPr fontId="3" type="noConversion"/>
  </si>
  <si>
    <t>热带病</t>
    <phoneticPr fontId="3" type="noConversion"/>
  </si>
  <si>
    <t>tropical diseases</t>
    <phoneticPr fontId="3" type="noConversion"/>
  </si>
  <si>
    <t>tuition fee</t>
    <phoneticPr fontId="3" type="noConversion"/>
  </si>
  <si>
    <t>小组讨论系统</t>
    <phoneticPr fontId="3" type="noConversion"/>
  </si>
  <si>
    <t>tutorial system</t>
    <phoneticPr fontId="3" type="noConversion"/>
  </si>
  <si>
    <t>两张单人床的房间</t>
    <phoneticPr fontId="3" type="noConversion"/>
  </si>
  <si>
    <t>twin room</t>
    <phoneticPr fontId="3" type="noConversion"/>
  </si>
  <si>
    <t>电视连续剧</t>
    <phoneticPr fontId="3" type="noConversion"/>
  </si>
  <si>
    <t>TV series</t>
    <phoneticPr fontId="3" type="noConversion"/>
  </si>
  <si>
    <t>电视访谈</t>
    <phoneticPr fontId="3" type="noConversion"/>
  </si>
  <si>
    <t>TV chat show</t>
    <phoneticPr fontId="3" type="noConversion"/>
  </si>
  <si>
    <t>有压力</t>
    <phoneticPr fontId="3" type="noConversion"/>
  </si>
  <si>
    <t>under pressure</t>
    <phoneticPr fontId="3" type="noConversion"/>
  </si>
  <si>
    <t>进行处理</t>
    <phoneticPr fontId="3" type="noConversion"/>
  </si>
  <si>
    <t>undergo processing</t>
    <phoneticPr fontId="3" type="noConversion"/>
  </si>
  <si>
    <t>地下停车场</t>
    <phoneticPr fontId="3" type="noConversion"/>
  </si>
  <si>
    <t>underground car park</t>
    <phoneticPr fontId="3" type="noConversion"/>
  </si>
  <si>
    <t>地铁</t>
    <phoneticPr fontId="3" type="noConversion"/>
  </si>
  <si>
    <t>underground railway</t>
    <phoneticPr fontId="3" type="noConversion"/>
  </si>
  <si>
    <t>不健康饮食</t>
    <phoneticPr fontId="3" type="noConversion"/>
  </si>
  <si>
    <t>unhealthy diet</t>
    <phoneticPr fontId="3" type="noConversion"/>
  </si>
  <si>
    <t>联合银行</t>
    <phoneticPr fontId="3" type="noConversion"/>
  </si>
  <si>
    <t>Union Bank</t>
    <phoneticPr fontId="3" type="noConversion"/>
  </si>
  <si>
    <t>测量单位</t>
    <phoneticPr fontId="3" type="noConversion"/>
  </si>
  <si>
    <t>units of measurement</t>
    <phoneticPr fontId="3" type="noConversion"/>
  </si>
  <si>
    <t>大学路</t>
    <phoneticPr fontId="3" type="noConversion"/>
  </si>
  <si>
    <t>University Drive</t>
    <phoneticPr fontId="3" type="noConversion"/>
  </si>
  <si>
    <t>大学设施</t>
    <phoneticPr fontId="3" type="noConversion"/>
  </si>
  <si>
    <t>university facilities</t>
    <phoneticPr fontId="3" type="noConversion"/>
  </si>
  <si>
    <t>大学指南</t>
    <phoneticPr fontId="3" type="noConversion"/>
  </si>
  <si>
    <t>university guide</t>
    <phoneticPr fontId="3" type="noConversion"/>
  </si>
  <si>
    <t>卧龙岗大学</t>
    <phoneticPr fontId="3" type="noConversion"/>
  </si>
  <si>
    <t>University of Wollongong</t>
    <phoneticPr fontId="3" type="noConversion"/>
  </si>
  <si>
    <t>大学资源</t>
    <phoneticPr fontId="3" type="noConversion"/>
  </si>
  <si>
    <t>university resource</t>
    <phoneticPr fontId="3" type="noConversion"/>
  </si>
  <si>
    <t>非正常生活的作息时间</t>
    <phoneticPr fontId="3" type="noConversion"/>
  </si>
  <si>
    <t>unsocial hours</t>
    <phoneticPr fontId="3" type="noConversion"/>
  </si>
  <si>
    <t>上升趋势</t>
    <phoneticPr fontId="3" type="noConversion"/>
  </si>
  <si>
    <t>upward trend</t>
    <phoneticPr fontId="3" type="noConversion"/>
  </si>
  <si>
    <t>城市地区</t>
    <phoneticPr fontId="3" type="noConversion"/>
  </si>
  <si>
    <t>urban area</t>
    <phoneticPr fontId="3" type="noConversion"/>
  </si>
  <si>
    <t>吸尘器</t>
    <phoneticPr fontId="3" type="noConversion"/>
  </si>
  <si>
    <t>vacuum cleaner</t>
    <phoneticPr fontId="3" type="noConversion"/>
  </si>
  <si>
    <t>用吸尘器来清理楼梯</t>
    <phoneticPr fontId="3" type="noConversion"/>
  </si>
  <si>
    <t>vacuum the stairs</t>
    <phoneticPr fontId="3" type="noConversion"/>
  </si>
  <si>
    <t>因为类别形状而有差异</t>
    <phoneticPr fontId="3" type="noConversion"/>
  </si>
  <si>
    <t>vary according to the type shape</t>
    <phoneticPr fontId="3" type="noConversion"/>
  </si>
  <si>
    <t>改变饮食</t>
    <phoneticPr fontId="3" type="noConversion"/>
  </si>
  <si>
    <t>vary one's diet</t>
    <phoneticPr fontId="3" type="noConversion"/>
  </si>
  <si>
    <t>蔬菜堡</t>
    <phoneticPr fontId="3" type="noConversion"/>
  </si>
  <si>
    <t>vegetable burger</t>
    <phoneticPr fontId="3" type="noConversion"/>
  </si>
  <si>
    <t>录像作业</t>
    <phoneticPr fontId="3" type="noConversion"/>
  </si>
  <si>
    <t>video project</t>
    <phoneticPr fontId="3" type="noConversion"/>
  </si>
  <si>
    <t>录像</t>
    <phoneticPr fontId="3" type="noConversion"/>
  </si>
  <si>
    <t>video recording</t>
    <phoneticPr fontId="3" type="noConversion"/>
  </si>
  <si>
    <t>录像信号</t>
    <phoneticPr fontId="3" type="noConversion"/>
  </si>
  <si>
    <t>video signal</t>
    <phoneticPr fontId="3" type="noConversion"/>
  </si>
  <si>
    <t>录像编辑</t>
    <phoneticPr fontId="3" type="noConversion"/>
  </si>
  <si>
    <t>videotape editor</t>
    <phoneticPr fontId="3" type="noConversion"/>
  </si>
  <si>
    <t>视觉辅助</t>
    <phoneticPr fontId="3" type="noConversion"/>
  </si>
  <si>
    <t>visual aids</t>
    <phoneticPr fontId="3" type="noConversion"/>
  </si>
  <si>
    <t>头等舱</t>
    <phoneticPr fontId="3" type="noConversion"/>
  </si>
  <si>
    <t>VIP class</t>
    <phoneticPr fontId="3" type="noConversion"/>
  </si>
  <si>
    <t>电脑学习</t>
    <phoneticPr fontId="3" type="noConversion"/>
  </si>
  <si>
    <t>virtual learning</t>
    <phoneticPr fontId="3" type="noConversion"/>
  </si>
  <si>
    <t>维萨信用卡</t>
    <phoneticPr fontId="3" type="noConversion"/>
  </si>
  <si>
    <t>暴力犯罪</t>
    <phoneticPr fontId="3" type="noConversion"/>
  </si>
  <si>
    <t>violent crimes</t>
    <phoneticPr fontId="3" type="noConversion"/>
  </si>
  <si>
    <t>火山灰</t>
    <phoneticPr fontId="3" type="noConversion"/>
  </si>
  <si>
    <t>volcanic dust</t>
    <phoneticPr fontId="3" type="noConversion"/>
  </si>
  <si>
    <t>热水澡</t>
    <phoneticPr fontId="3" type="noConversion"/>
  </si>
  <si>
    <t>warm bath</t>
    <phoneticPr fontId="3" type="noConversion"/>
  </si>
  <si>
    <t>体积图</t>
    <phoneticPr fontId="3" type="noConversion"/>
  </si>
  <si>
    <t>volume chart</t>
    <phoneticPr fontId="3" type="noConversion"/>
  </si>
  <si>
    <t>选举系统</t>
    <phoneticPr fontId="3" type="noConversion"/>
  </si>
  <si>
    <t>voting system</t>
    <phoneticPr fontId="3" type="noConversion"/>
  </si>
  <si>
    <t>后补清单</t>
    <phoneticPr fontId="3" type="noConversion"/>
  </si>
  <si>
    <t>waiting list</t>
    <phoneticPr fontId="3" type="noConversion"/>
  </si>
  <si>
    <t>登山靴</t>
    <phoneticPr fontId="3" type="noConversion"/>
  </si>
  <si>
    <t>walking boots</t>
    <phoneticPr fontId="3" type="noConversion"/>
  </si>
  <si>
    <t>徒步俱乐部</t>
    <phoneticPr fontId="3" type="noConversion"/>
  </si>
  <si>
    <t>walking club</t>
    <phoneticPr fontId="3" type="noConversion"/>
  </si>
  <si>
    <t>力量训练</t>
    <phoneticPr fontId="3" type="noConversion"/>
  </si>
  <si>
    <t>weight training</t>
    <phoneticPr fontId="3" type="noConversion"/>
  </si>
  <si>
    <t>可洗的鞋</t>
    <phoneticPr fontId="3" type="noConversion"/>
  </si>
  <si>
    <t>washable shoes</t>
    <phoneticPr fontId="3" type="noConversion"/>
  </si>
  <si>
    <t>洗衣机</t>
    <phoneticPr fontId="3" type="noConversion"/>
  </si>
  <si>
    <t>washing machine</t>
    <phoneticPr fontId="3" type="noConversion"/>
  </si>
  <si>
    <t>婚礼照片</t>
    <phoneticPr fontId="3" type="noConversion"/>
  </si>
  <si>
    <t>wedding photos</t>
    <phoneticPr fontId="3" type="noConversion"/>
  </si>
  <si>
    <t>垃圾处理</t>
    <phoneticPr fontId="3" type="noConversion"/>
  </si>
  <si>
    <t>waste handling</t>
    <phoneticPr fontId="3" type="noConversion"/>
  </si>
  <si>
    <t>废物处理</t>
    <phoneticPr fontId="3" type="noConversion"/>
  </si>
  <si>
    <t>waste disposal</t>
    <phoneticPr fontId="3" type="noConversion"/>
  </si>
  <si>
    <t>X射线</t>
    <phoneticPr fontId="3" type="noConversion"/>
  </si>
  <si>
    <t>X-ray</t>
    <phoneticPr fontId="3" type="noConversion"/>
  </si>
  <si>
    <t>编织毯子</t>
    <phoneticPr fontId="3" type="noConversion"/>
  </si>
  <si>
    <t>weaving blanket</t>
    <phoneticPr fontId="3" type="noConversion"/>
  </si>
  <si>
    <t>水费</t>
    <phoneticPr fontId="3" type="noConversion"/>
  </si>
  <si>
    <t>water fee</t>
    <phoneticPr fontId="3" type="noConversion"/>
  </si>
  <si>
    <t>热水器</t>
    <phoneticPr fontId="3" type="noConversion"/>
  </si>
  <si>
    <t>water heater</t>
    <phoneticPr fontId="3" type="noConversion"/>
  </si>
  <si>
    <t>水公园</t>
    <phoneticPr fontId="3" type="noConversion"/>
  </si>
  <si>
    <t>water park</t>
    <phoneticPr fontId="3" type="noConversion"/>
  </si>
  <si>
    <t>水资源</t>
    <phoneticPr fontId="3" type="noConversion"/>
  </si>
  <si>
    <t>water resources</t>
    <phoneticPr fontId="3" type="noConversion"/>
  </si>
  <si>
    <t>滑水</t>
    <phoneticPr fontId="3" type="noConversion"/>
  </si>
  <si>
    <t>water skiing</t>
    <phoneticPr fontId="3" type="noConversion"/>
  </si>
  <si>
    <t>一周往返</t>
    <phoneticPr fontId="3" type="noConversion"/>
  </si>
  <si>
    <t>weekly return</t>
    <phoneticPr fontId="3" type="noConversion"/>
  </si>
  <si>
    <t>入学或旅游时收到的欢迎辞</t>
    <phoneticPr fontId="3" type="noConversion"/>
  </si>
  <si>
    <t>welcome package</t>
    <phoneticPr fontId="3" type="noConversion"/>
  </si>
  <si>
    <t>欢迎会</t>
    <phoneticPr fontId="3" type="noConversion"/>
  </si>
  <si>
    <t>welcome party</t>
    <phoneticPr fontId="3" type="noConversion"/>
  </si>
  <si>
    <t>福利部门</t>
    <phoneticPr fontId="3" type="noConversion"/>
  </si>
  <si>
    <t>welfare department</t>
    <phoneticPr fontId="3" type="noConversion"/>
  </si>
  <si>
    <t>西欧</t>
    <phoneticPr fontId="3" type="noConversion"/>
  </si>
  <si>
    <t>western Europe</t>
    <phoneticPr fontId="3" type="noConversion"/>
  </si>
  <si>
    <t>轮椅</t>
    <phoneticPr fontId="3" type="noConversion"/>
  </si>
  <si>
    <t>wheelchair</t>
    <phoneticPr fontId="3" type="noConversion"/>
  </si>
  <si>
    <t>白肉</t>
    <phoneticPr fontId="3" type="noConversion"/>
  </si>
  <si>
    <t>white meat</t>
    <phoneticPr fontId="3" type="noConversion"/>
  </si>
  <si>
    <t>批发</t>
    <phoneticPr fontId="3" type="noConversion"/>
  </si>
  <si>
    <t>wholesale</t>
    <phoneticPr fontId="3" type="noConversion"/>
  </si>
  <si>
    <t>广泛阅读</t>
    <phoneticPr fontId="3" type="noConversion"/>
  </si>
  <si>
    <t>wide reading</t>
    <phoneticPr fontId="3" type="noConversion"/>
  </si>
  <si>
    <t>大量写作</t>
    <phoneticPr fontId="3" type="noConversion"/>
  </si>
  <si>
    <t>wide writing</t>
    <phoneticPr fontId="3" type="noConversion"/>
  </si>
  <si>
    <t>widen one's horizon</t>
    <phoneticPr fontId="3" type="noConversion"/>
  </si>
  <si>
    <t>widen one's view</t>
    <phoneticPr fontId="3" type="noConversion"/>
  </si>
  <si>
    <t>风能</t>
    <phoneticPr fontId="3" type="noConversion"/>
  </si>
  <si>
    <t>wind power</t>
    <phoneticPr fontId="3" type="noConversion"/>
  </si>
  <si>
    <t>风洞</t>
    <phoneticPr fontId="3" type="noConversion"/>
  </si>
  <si>
    <t>wind tunnels</t>
    <phoneticPr fontId="3" type="noConversion"/>
  </si>
  <si>
    <t>商店橱窗装饰</t>
    <phoneticPr fontId="3" type="noConversion"/>
  </si>
  <si>
    <t>window dressing</t>
    <phoneticPr fontId="3" type="noConversion"/>
  </si>
  <si>
    <t>机翼设计</t>
    <phoneticPr fontId="3" type="noConversion"/>
  </si>
  <si>
    <t>wing design</t>
    <phoneticPr fontId="3" type="noConversion"/>
  </si>
  <si>
    <t>取现金</t>
    <phoneticPr fontId="3" type="noConversion"/>
  </si>
  <si>
    <t>withdraw cash</t>
    <phoneticPr fontId="3" type="noConversion"/>
  </si>
  <si>
    <t>女作家</t>
    <phoneticPr fontId="3" type="noConversion"/>
  </si>
  <si>
    <t>woman author</t>
    <phoneticPr fontId="3" type="noConversion"/>
  </si>
  <si>
    <t>树木要砍下来风干</t>
    <phoneticPr fontId="3" type="noConversion"/>
  </si>
  <si>
    <t>wood should be cut and seasoned</t>
    <phoneticPr fontId="3" type="noConversion"/>
  </si>
  <si>
    <t>工作目标</t>
    <phoneticPr fontId="3" type="noConversion"/>
  </si>
  <si>
    <t>work objective</t>
    <phoneticPr fontId="3" type="noConversion"/>
  </si>
  <si>
    <t>工作地点</t>
    <phoneticPr fontId="3" type="noConversion"/>
  </si>
  <si>
    <t>work place</t>
    <phoneticPr fontId="3" type="noConversion"/>
  </si>
  <si>
    <t>系统地工作</t>
    <phoneticPr fontId="3" type="noConversion"/>
  </si>
  <si>
    <t>work systematically</t>
    <phoneticPr fontId="3" type="noConversion"/>
  </si>
  <si>
    <t>世界博览会</t>
    <phoneticPr fontId="3" type="noConversion"/>
  </si>
  <si>
    <t>world expo</t>
    <phoneticPr fontId="3" type="noConversion"/>
  </si>
  <si>
    <t>废弃的船</t>
    <phoneticPr fontId="3" type="noConversion"/>
  </si>
  <si>
    <t>wretched boat</t>
    <phoneticPr fontId="3" type="noConversion"/>
  </si>
  <si>
    <t>野生动物</t>
    <phoneticPr fontId="3" type="noConversion"/>
  </si>
  <si>
    <t>wild animals</t>
    <phoneticPr fontId="3" type="noConversion"/>
  </si>
  <si>
    <t>青年旅店</t>
    <phoneticPr fontId="3" type="noConversion"/>
  </si>
  <si>
    <t>youth hostel</t>
    <phoneticPr fontId="3" type="noConversion"/>
  </si>
  <si>
    <t>本国大使馆</t>
    <phoneticPr fontId="3" type="noConversion"/>
  </si>
  <si>
    <t>your own embassy</t>
    <phoneticPr fontId="3" type="noConversion"/>
  </si>
  <si>
    <t>黄热病</t>
    <phoneticPr fontId="3" type="noConversion"/>
  </si>
  <si>
    <t>yellow fever</t>
    <phoneticPr fontId="3" type="noConversion"/>
  </si>
  <si>
    <t xml:space="preserve">Chapter5 Test Paper 12	</t>
    <phoneticPr fontId="3" type="noConversion"/>
  </si>
  <si>
    <t>缩写</t>
    <phoneticPr fontId="3" type="noConversion"/>
  </si>
  <si>
    <t>abbreviation</t>
    <phoneticPr fontId="3" type="noConversion"/>
  </si>
  <si>
    <t>接近</t>
    <phoneticPr fontId="3" type="noConversion"/>
  </si>
  <si>
    <t>access</t>
    <phoneticPr fontId="3" type="noConversion"/>
  </si>
  <si>
    <t>易接近的</t>
    <phoneticPr fontId="3" type="noConversion"/>
  </si>
  <si>
    <t>事故</t>
    <phoneticPr fontId="3" type="noConversion"/>
  </si>
  <si>
    <t>accident</t>
    <phoneticPr fontId="3" type="noConversion"/>
  </si>
  <si>
    <t>事情</t>
    <phoneticPr fontId="3" type="noConversion"/>
  </si>
  <si>
    <t>affair</t>
    <phoneticPr fontId="3" type="noConversion"/>
  </si>
  <si>
    <t>公告</t>
    <phoneticPr fontId="3" type="noConversion"/>
  </si>
  <si>
    <t>announcement</t>
    <phoneticPr fontId="3" type="noConversion"/>
  </si>
  <si>
    <t>假设</t>
    <phoneticPr fontId="3" type="noConversion"/>
  </si>
  <si>
    <t>assume</t>
    <phoneticPr fontId="3" type="noConversion"/>
  </si>
  <si>
    <t>住宿</t>
    <phoneticPr fontId="3" type="noConversion"/>
  </si>
  <si>
    <t>accommodation</t>
    <phoneticPr fontId="3" type="noConversion"/>
  </si>
  <si>
    <t>推荐</t>
    <phoneticPr fontId="3" type="noConversion"/>
  </si>
  <si>
    <t>recommendation</t>
    <phoneticPr fontId="3" type="noConversion"/>
  </si>
  <si>
    <t>配楼附属建筑</t>
    <phoneticPr fontId="3" type="noConversion"/>
  </si>
  <si>
    <t>annex</t>
    <phoneticPr fontId="3" type="noConversion"/>
  </si>
  <si>
    <t>相符的</t>
    <phoneticPr fontId="3" type="noConversion"/>
  </si>
  <si>
    <t>according</t>
    <phoneticPr fontId="3" type="noConversion"/>
  </si>
  <si>
    <t>繁殖</t>
    <phoneticPr fontId="3" type="noConversion"/>
  </si>
  <si>
    <t>breeding</t>
    <phoneticPr fontId="3" type="noConversion"/>
  </si>
  <si>
    <t>周围</t>
    <phoneticPr fontId="3" type="noConversion"/>
  </si>
  <si>
    <t>surrounding</t>
    <phoneticPr fontId="3" type="noConversion"/>
  </si>
  <si>
    <t>做饭</t>
    <phoneticPr fontId="3" type="noConversion"/>
  </si>
  <si>
    <t>cooking</t>
    <phoneticPr fontId="3" type="noConversion"/>
  </si>
  <si>
    <t>帐户</t>
    <phoneticPr fontId="3" type="noConversion"/>
  </si>
  <si>
    <t>account</t>
    <phoneticPr fontId="3" type="noConversion"/>
  </si>
  <si>
    <t>会计学</t>
    <phoneticPr fontId="3" type="noConversion"/>
  </si>
  <si>
    <t>accountancy</t>
    <phoneticPr fontId="3" type="noConversion"/>
  </si>
  <si>
    <t>accounting</t>
    <phoneticPr fontId="3" type="noConversion"/>
  </si>
  <si>
    <t>附加</t>
    <phoneticPr fontId="3" type="noConversion"/>
  </si>
  <si>
    <t>addition</t>
    <phoneticPr fontId="3" type="noConversion"/>
  </si>
  <si>
    <t>附加的</t>
    <phoneticPr fontId="3" type="noConversion"/>
  </si>
  <si>
    <t>地址</t>
    <phoneticPr fontId="3" type="noConversion"/>
  </si>
  <si>
    <t>address</t>
    <phoneticPr fontId="3" type="noConversion"/>
  </si>
  <si>
    <t>连衣裙</t>
    <phoneticPr fontId="3" type="noConversion"/>
  </si>
  <si>
    <t>dress</t>
    <phoneticPr fontId="3" type="noConversion"/>
  </si>
  <si>
    <t>穿衣，沙拉</t>
    <phoneticPr fontId="3" type="noConversion"/>
  </si>
  <si>
    <t>dressing</t>
    <phoneticPr fontId="3" type="noConversion"/>
  </si>
  <si>
    <t>评估</t>
    <phoneticPr fontId="3" type="noConversion"/>
  </si>
  <si>
    <t>assessment</t>
    <phoneticPr fontId="3" type="noConversion"/>
  </si>
  <si>
    <t>入场费，承认</t>
    <phoneticPr fontId="3" type="noConversion"/>
  </si>
  <si>
    <t>admission</t>
    <phoneticPr fontId="3" type="noConversion"/>
  </si>
  <si>
    <t>佣金，委任</t>
    <phoneticPr fontId="3" type="noConversion"/>
  </si>
  <si>
    <t>commission</t>
    <phoneticPr fontId="3" type="noConversion"/>
  </si>
  <si>
    <t>沮丧，萧条</t>
    <phoneticPr fontId="3" type="noConversion"/>
  </si>
  <si>
    <t>depression</t>
    <phoneticPr fontId="3" type="noConversion"/>
  </si>
  <si>
    <t>影响，装作</t>
    <phoneticPr fontId="3" type="noConversion"/>
  </si>
  <si>
    <t>affect</t>
    <phoneticPr fontId="3" type="noConversion"/>
  </si>
  <si>
    <t>结果，作用</t>
    <phoneticPr fontId="3" type="noConversion"/>
  </si>
  <si>
    <t>effect</t>
    <phoneticPr fontId="3" type="noConversion"/>
  </si>
  <si>
    <t>有效的</t>
    <phoneticPr fontId="3" type="noConversion"/>
  </si>
  <si>
    <t>有效地</t>
    <phoneticPr fontId="3" type="noConversion"/>
  </si>
  <si>
    <t>呼吁，恳求，上诉</t>
    <phoneticPr fontId="3" type="noConversion"/>
  </si>
  <si>
    <t>appeal</t>
    <phoneticPr fontId="3" type="noConversion"/>
  </si>
  <si>
    <t>一年的</t>
    <phoneticPr fontId="3" type="noConversion"/>
  </si>
  <si>
    <t>annual</t>
    <phoneticPr fontId="3" type="noConversion"/>
  </si>
  <si>
    <t>到达</t>
    <phoneticPr fontId="3" type="noConversion"/>
  </si>
  <si>
    <t>arrival</t>
    <phoneticPr fontId="3" type="noConversion"/>
  </si>
  <si>
    <t>申请人</t>
    <phoneticPr fontId="3" type="noConversion"/>
  </si>
  <si>
    <t>applicant</t>
    <phoneticPr fontId="3" type="noConversion"/>
  </si>
  <si>
    <t>申请，应用</t>
    <phoneticPr fontId="3" type="noConversion"/>
  </si>
  <si>
    <t>application</t>
    <phoneticPr fontId="3" type="noConversion"/>
  </si>
  <si>
    <t>应用的</t>
    <phoneticPr fontId="3" type="noConversion"/>
  </si>
  <si>
    <t>器具，装置</t>
    <phoneticPr fontId="3" type="noConversion"/>
  </si>
  <si>
    <t>appliance</t>
    <phoneticPr fontId="3" type="noConversion"/>
  </si>
  <si>
    <t>方法接近</t>
    <phoneticPr fontId="3" type="noConversion"/>
  </si>
  <si>
    <t>approach</t>
    <phoneticPr fontId="3" type="noConversion"/>
  </si>
  <si>
    <t>预约，任命</t>
    <phoneticPr fontId="3" type="noConversion"/>
  </si>
  <si>
    <t>appointment</t>
    <phoneticPr fontId="3" type="noConversion"/>
  </si>
  <si>
    <t>同意</t>
    <phoneticPr fontId="3" type="noConversion"/>
  </si>
  <si>
    <t>approval</t>
    <phoneticPr fontId="3" type="noConversion"/>
  </si>
  <si>
    <t>近似的</t>
    <phoneticPr fontId="3" type="noConversion"/>
  </si>
  <si>
    <t>approximate</t>
    <phoneticPr fontId="3" type="noConversion"/>
  </si>
  <si>
    <t>援助</t>
    <phoneticPr fontId="3" type="noConversion"/>
  </si>
  <si>
    <t>assistance</t>
    <phoneticPr fontId="3" type="noConversion"/>
  </si>
  <si>
    <t>助手</t>
    <phoneticPr fontId="3" type="noConversion"/>
  </si>
  <si>
    <t>assistant</t>
    <phoneticPr fontId="3" type="noConversion"/>
  </si>
  <si>
    <t>伙伴</t>
    <phoneticPr fontId="3" type="noConversion"/>
  </si>
  <si>
    <t>associate</t>
    <phoneticPr fontId="3" type="noConversion"/>
  </si>
  <si>
    <t>协会</t>
    <phoneticPr fontId="3" type="noConversion"/>
  </si>
  <si>
    <t>association</t>
    <phoneticPr fontId="3" type="noConversion"/>
  </si>
  <si>
    <t>附件</t>
    <phoneticPr fontId="3" type="noConversion"/>
  </si>
  <si>
    <t>attachment</t>
    <phoneticPr fontId="3" type="noConversion"/>
  </si>
  <si>
    <t>袭击</t>
    <phoneticPr fontId="3" type="noConversion"/>
  </si>
  <si>
    <t>attack</t>
    <phoneticPr fontId="3" type="noConversion"/>
  </si>
  <si>
    <t>努力</t>
    <phoneticPr fontId="3" type="noConversion"/>
  </si>
  <si>
    <t>attempt</t>
    <phoneticPr fontId="3" type="noConversion"/>
  </si>
  <si>
    <t>态度</t>
    <phoneticPr fontId="3" type="noConversion"/>
  </si>
  <si>
    <t>attitude</t>
    <phoneticPr fontId="3" type="noConversion"/>
  </si>
  <si>
    <t>出席参加</t>
    <phoneticPr fontId="3" type="noConversion"/>
  </si>
  <si>
    <t>attend</t>
    <phoneticPr fontId="3" type="noConversion"/>
  </si>
  <si>
    <t>到场出席</t>
    <phoneticPr fontId="3" type="noConversion"/>
  </si>
  <si>
    <t>attendance</t>
    <phoneticPr fontId="3" type="noConversion"/>
  </si>
  <si>
    <t>attention</t>
    <phoneticPr fontId="3" type="noConversion"/>
  </si>
  <si>
    <t>注意点</t>
    <phoneticPr fontId="3" type="noConversion"/>
  </si>
  <si>
    <t>商业，交易</t>
    <phoneticPr fontId="3" type="noConversion"/>
  </si>
  <si>
    <t>business</t>
    <phoneticPr fontId="3" type="noConversion"/>
  </si>
  <si>
    <t>气球</t>
    <phoneticPr fontId="3" type="noConversion"/>
  </si>
  <si>
    <t>balloon</t>
    <phoneticPr fontId="3" type="noConversion"/>
  </si>
  <si>
    <t>卡通片</t>
    <phoneticPr fontId="3" type="noConversion"/>
  </si>
  <si>
    <t>cartoon</t>
    <phoneticPr fontId="3" type="noConversion"/>
  </si>
  <si>
    <t>汤勺</t>
    <phoneticPr fontId="3" type="noConversion"/>
  </si>
  <si>
    <t>spoon</t>
    <phoneticPr fontId="3" type="noConversion"/>
  </si>
  <si>
    <t>十亿</t>
    <phoneticPr fontId="3" type="noConversion"/>
  </si>
  <si>
    <t>billion</t>
    <phoneticPr fontId="3" type="noConversion"/>
  </si>
  <si>
    <t>舞会</t>
    <phoneticPr fontId="3" type="noConversion"/>
  </si>
  <si>
    <t>ballroom</t>
    <phoneticPr fontId="3" type="noConversion"/>
  </si>
  <si>
    <t>卫生间</t>
    <phoneticPr fontId="3" type="noConversion"/>
  </si>
  <si>
    <t>bathroom</t>
    <phoneticPr fontId="3" type="noConversion"/>
  </si>
  <si>
    <t>娱乐室</t>
    <phoneticPr fontId="3" type="noConversion"/>
  </si>
  <si>
    <t>playroom</t>
    <phoneticPr fontId="3" type="noConversion"/>
  </si>
  <si>
    <t>室友</t>
    <phoneticPr fontId="3" type="noConversion"/>
  </si>
  <si>
    <t>roommate</t>
    <phoneticPr fontId="3" type="noConversion"/>
  </si>
  <si>
    <t>不生育的</t>
    <phoneticPr fontId="3" type="noConversion"/>
  </si>
  <si>
    <t>障碍物</t>
    <phoneticPr fontId="3" type="noConversion"/>
  </si>
  <si>
    <t>barrier</t>
    <phoneticPr fontId="3" type="noConversion"/>
  </si>
  <si>
    <t>更好的</t>
    <phoneticPr fontId="3" type="noConversion"/>
  </si>
  <si>
    <t>better</t>
    <phoneticPr fontId="3" type="noConversion"/>
  </si>
  <si>
    <t>自助餐</t>
    <phoneticPr fontId="3" type="noConversion"/>
  </si>
  <si>
    <t>buffet</t>
    <phoneticPr fontId="3" type="noConversion"/>
  </si>
  <si>
    <t>初始者</t>
    <phoneticPr fontId="3" type="noConversion"/>
  </si>
  <si>
    <t>beginner</t>
    <phoneticPr fontId="3" type="noConversion"/>
  </si>
  <si>
    <t>开始初级</t>
    <phoneticPr fontId="3" type="noConversion"/>
  </si>
  <si>
    <t>beginning</t>
    <phoneticPr fontId="3" type="noConversion"/>
  </si>
  <si>
    <t>计划者</t>
    <phoneticPr fontId="3" type="noConversion"/>
  </si>
  <si>
    <t>planner</t>
    <phoneticPr fontId="3" type="noConversion"/>
  </si>
  <si>
    <t>planning</t>
    <phoneticPr fontId="3" type="noConversion"/>
  </si>
  <si>
    <t>血</t>
    <phoneticPr fontId="3" type="noConversion"/>
  </si>
  <si>
    <t>blood</t>
    <phoneticPr fontId="3" type="noConversion"/>
  </si>
  <si>
    <t>花，开花</t>
    <phoneticPr fontId="3" type="noConversion"/>
  </si>
  <si>
    <t>bloom</t>
    <phoneticPr fontId="3" type="noConversion"/>
  </si>
  <si>
    <t>靴子</t>
    <phoneticPr fontId="3" type="noConversion"/>
  </si>
  <si>
    <t>boot</t>
    <phoneticPr fontId="3" type="noConversion"/>
  </si>
  <si>
    <t>书</t>
    <phoneticPr fontId="3" type="noConversion"/>
  </si>
  <si>
    <t>book</t>
    <phoneticPr fontId="3" type="noConversion"/>
  </si>
  <si>
    <t>预定</t>
    <phoneticPr fontId="3" type="noConversion"/>
  </si>
  <si>
    <t>booking</t>
    <phoneticPr fontId="3" type="noConversion"/>
  </si>
  <si>
    <t>小册子</t>
    <phoneticPr fontId="3" type="noConversion"/>
  </si>
  <si>
    <t>booklet</t>
    <phoneticPr fontId="3" type="noConversion"/>
  </si>
  <si>
    <t>食肉者</t>
    <phoneticPr fontId="3" type="noConversion"/>
  </si>
  <si>
    <t>cannibal</t>
    <phoneticPr fontId="3" type="noConversion"/>
  </si>
  <si>
    <t>连接</t>
    <phoneticPr fontId="3" type="noConversion"/>
  </si>
  <si>
    <t>connect</t>
    <phoneticPr fontId="3" type="noConversion"/>
  </si>
  <si>
    <t>录音带</t>
    <phoneticPr fontId="3" type="noConversion"/>
  </si>
  <si>
    <t>cassette</t>
    <phoneticPr fontId="3" type="noConversion"/>
  </si>
  <si>
    <t>cattle</t>
    <phoneticPr fontId="3" type="noConversion"/>
  </si>
  <si>
    <t>古典的</t>
    <phoneticPr fontId="3" type="noConversion"/>
  </si>
  <si>
    <t>分类类别</t>
    <phoneticPr fontId="3" type="noConversion"/>
  </si>
  <si>
    <t>classification</t>
    <phoneticPr fontId="3" type="noConversion"/>
  </si>
  <si>
    <t>同班同学</t>
    <phoneticPr fontId="3" type="noConversion"/>
  </si>
  <si>
    <t>classmate</t>
    <phoneticPr fontId="3" type="noConversion"/>
  </si>
  <si>
    <t>注释，评论</t>
    <phoneticPr fontId="3" type="noConversion"/>
  </si>
  <si>
    <t>comment</t>
    <phoneticPr fontId="3" type="noConversion"/>
  </si>
  <si>
    <t>电视广告</t>
    <phoneticPr fontId="3" type="noConversion"/>
  </si>
  <si>
    <t>commercial</t>
    <phoneticPr fontId="3" type="noConversion"/>
  </si>
  <si>
    <t>交流</t>
    <phoneticPr fontId="3" type="noConversion"/>
  </si>
  <si>
    <t>communication</t>
    <phoneticPr fontId="3" type="noConversion"/>
  </si>
  <si>
    <t>社区</t>
    <phoneticPr fontId="3" type="noConversion"/>
  </si>
  <si>
    <t>community</t>
    <phoneticPr fontId="3" type="noConversion"/>
  </si>
  <si>
    <t>普通的</t>
    <phoneticPr fontId="3" type="noConversion"/>
  </si>
  <si>
    <t>棉花</t>
    <phoneticPr fontId="3" type="noConversion"/>
  </si>
  <si>
    <t>cotton</t>
    <phoneticPr fontId="3" type="noConversion"/>
  </si>
  <si>
    <t>咖啡</t>
    <phoneticPr fontId="3" type="noConversion"/>
  </si>
  <si>
    <t>coffee</t>
    <phoneticPr fontId="3" type="noConversion"/>
  </si>
  <si>
    <t>小屋</t>
    <phoneticPr fontId="3" type="noConversion"/>
  </si>
  <si>
    <t>死记硬背</t>
    <phoneticPr fontId="3" type="noConversion"/>
  </si>
  <si>
    <t>cramming</t>
    <phoneticPr fontId="3" type="noConversion"/>
  </si>
  <si>
    <t>奔跑，运转，奔跑的</t>
    <phoneticPr fontId="3" type="noConversion"/>
  </si>
  <si>
    <t>running</t>
    <phoneticPr fontId="3" type="noConversion"/>
  </si>
  <si>
    <t>婚礼</t>
    <phoneticPr fontId="3" type="noConversion"/>
  </si>
  <si>
    <t>wedding</t>
    <phoneticPr fontId="3" type="noConversion"/>
  </si>
  <si>
    <t>禁止</t>
    <phoneticPr fontId="3" type="noConversion"/>
  </si>
  <si>
    <t>banned</t>
    <phoneticPr fontId="3" type="noConversion"/>
  </si>
  <si>
    <t>流动，趋势，当前的</t>
    <phoneticPr fontId="3" type="noConversion"/>
  </si>
  <si>
    <t>货币，流通</t>
    <phoneticPr fontId="3" type="noConversion"/>
  </si>
  <si>
    <t>currency</t>
    <phoneticPr fontId="3" type="noConversion"/>
  </si>
  <si>
    <t>合作，协作</t>
    <phoneticPr fontId="3" type="noConversion"/>
  </si>
  <si>
    <t>cooperate</t>
    <phoneticPr fontId="3" type="noConversion"/>
  </si>
  <si>
    <t>交叉路，转折点</t>
    <phoneticPr fontId="3" type="noConversion"/>
  </si>
  <si>
    <t>crossroads</t>
    <phoneticPr fontId="3" type="noConversion"/>
  </si>
  <si>
    <t>甜点心</t>
    <phoneticPr fontId="3" type="noConversion"/>
  </si>
  <si>
    <t>dessert</t>
    <phoneticPr fontId="3" type="noConversion"/>
  </si>
  <si>
    <t>论文</t>
    <phoneticPr fontId="3" type="noConversion"/>
  </si>
  <si>
    <t>dissertation</t>
    <phoneticPr fontId="3" type="noConversion"/>
  </si>
  <si>
    <t>不同的</t>
    <phoneticPr fontId="3" type="noConversion"/>
  </si>
  <si>
    <t>差别</t>
    <phoneticPr fontId="3" type="noConversion"/>
  </si>
  <si>
    <t>difference</t>
    <phoneticPr fontId="3" type="noConversion"/>
  </si>
  <si>
    <t>正餐</t>
    <phoneticPr fontId="3" type="noConversion"/>
  </si>
  <si>
    <t>头晕目眩的</t>
    <phoneticPr fontId="3" type="noConversion"/>
  </si>
  <si>
    <t>dizzy</t>
    <phoneticPr fontId="3" type="noConversion"/>
  </si>
  <si>
    <t>小的</t>
    <phoneticPr fontId="3" type="noConversion"/>
  </si>
  <si>
    <t>little</t>
    <phoneticPr fontId="3" type="noConversion"/>
  </si>
  <si>
    <t>披萨饼</t>
    <phoneticPr fontId="3" type="noConversion"/>
  </si>
  <si>
    <t>pizza</t>
    <phoneticPr fontId="3" type="noConversion"/>
  </si>
  <si>
    <t>讨论</t>
    <phoneticPr fontId="3" type="noConversion"/>
  </si>
  <si>
    <t>discuss</t>
    <phoneticPr fontId="3" type="noConversion"/>
  </si>
  <si>
    <t>discussion</t>
    <phoneticPr fontId="3" type="noConversion"/>
  </si>
  <si>
    <t>演讲，演说</t>
    <phoneticPr fontId="3" type="noConversion"/>
  </si>
  <si>
    <t>speech</t>
    <phoneticPr fontId="3" type="noConversion"/>
  </si>
  <si>
    <t>建议</t>
    <phoneticPr fontId="3" type="noConversion"/>
  </si>
  <si>
    <t>suggestion</t>
    <phoneticPr fontId="3" type="noConversion"/>
  </si>
  <si>
    <t>门</t>
    <phoneticPr fontId="3" type="noConversion"/>
  </si>
  <si>
    <t>door</t>
    <phoneticPr fontId="3" type="noConversion"/>
  </si>
  <si>
    <t>美元</t>
    <phoneticPr fontId="3" type="noConversion"/>
  </si>
  <si>
    <t>dollar</t>
    <phoneticPr fontId="3" type="noConversion"/>
  </si>
  <si>
    <t>地板</t>
    <phoneticPr fontId="3" type="noConversion"/>
  </si>
  <si>
    <t>floor</t>
    <phoneticPr fontId="3" type="noConversion"/>
  </si>
  <si>
    <t>贫穷的</t>
    <phoneticPr fontId="3" type="noConversion"/>
  </si>
  <si>
    <t>poor</t>
    <phoneticPr fontId="3" type="noConversion"/>
  </si>
  <si>
    <t>效率高的</t>
    <phoneticPr fontId="3" type="noConversion"/>
  </si>
  <si>
    <t>必要的</t>
    <phoneticPr fontId="3" type="noConversion"/>
  </si>
  <si>
    <t>夸张</t>
    <phoneticPr fontId="3" type="noConversion"/>
  </si>
  <si>
    <t>exaggerate</t>
    <phoneticPr fontId="3" type="noConversion"/>
  </si>
  <si>
    <t>散文随笔</t>
    <phoneticPr fontId="3" type="noConversion"/>
  </si>
  <si>
    <t>essay</t>
    <phoneticPr fontId="3" type="noConversion"/>
  </si>
  <si>
    <t>大使馆</t>
    <phoneticPr fontId="3" type="noConversion"/>
  </si>
  <si>
    <t>embassy</t>
    <phoneticPr fontId="3" type="noConversion"/>
  </si>
  <si>
    <t>问题</t>
    <phoneticPr fontId="3" type="noConversion"/>
  </si>
  <si>
    <t>issue</t>
    <phoneticPr fontId="3" type="noConversion"/>
  </si>
  <si>
    <t>课程，课程表</t>
    <phoneticPr fontId="3" type="noConversion"/>
  </si>
  <si>
    <t>curriculum</t>
    <phoneticPr fontId="3" type="noConversion"/>
  </si>
  <si>
    <t>快车，快递</t>
    <phoneticPr fontId="3" type="noConversion"/>
  </si>
  <si>
    <t>express</t>
    <phoneticPr fontId="3" type="noConversion"/>
  </si>
  <si>
    <t>会议，国会</t>
    <phoneticPr fontId="3" type="noConversion"/>
  </si>
  <si>
    <t>congress</t>
    <phoneticPr fontId="3" type="noConversion"/>
  </si>
  <si>
    <t>紧的，困难的</t>
    <phoneticPr fontId="3" type="noConversion"/>
  </si>
  <si>
    <t>pressed</t>
    <phoneticPr fontId="3" type="noConversion"/>
  </si>
  <si>
    <t>压，压力</t>
    <phoneticPr fontId="3" type="noConversion"/>
  </si>
  <si>
    <t>pressure</t>
    <phoneticPr fontId="3" type="noConversion"/>
  </si>
  <si>
    <t>费</t>
    <phoneticPr fontId="3" type="noConversion"/>
  </si>
  <si>
    <t>fee</t>
    <phoneticPr fontId="3" type="noConversion"/>
  </si>
  <si>
    <t>反馈，返回</t>
    <phoneticPr fontId="3" type="noConversion"/>
  </si>
  <si>
    <t>摆渡，轮渡</t>
    <phoneticPr fontId="3" type="noConversion"/>
  </si>
  <si>
    <t>ferry</t>
    <phoneticPr fontId="3" type="noConversion"/>
  </si>
  <si>
    <t>化石</t>
    <phoneticPr fontId="3" type="noConversion"/>
  </si>
  <si>
    <t>fossil</t>
    <phoneticPr fontId="3" type="noConversion"/>
  </si>
  <si>
    <t>食物</t>
    <phoneticPr fontId="3" type="noConversion"/>
  </si>
  <si>
    <t>food</t>
    <phoneticPr fontId="3" type="noConversion"/>
  </si>
  <si>
    <t>脚</t>
    <phoneticPr fontId="3" type="noConversion"/>
  </si>
  <si>
    <t>foot</t>
    <phoneticPr fontId="3" type="noConversion"/>
  </si>
  <si>
    <t>足球</t>
    <phoneticPr fontId="3" type="noConversion"/>
  </si>
  <si>
    <t>football</t>
    <phoneticPr fontId="3" type="noConversion"/>
  </si>
  <si>
    <t>脚印</t>
    <phoneticPr fontId="3" type="noConversion"/>
  </si>
  <si>
    <t>footprint</t>
    <phoneticPr fontId="3" type="noConversion"/>
  </si>
  <si>
    <t>商品</t>
    <phoneticPr fontId="3" type="noConversion"/>
  </si>
  <si>
    <t>goods</t>
    <phoneticPr fontId="3" type="noConversion"/>
  </si>
  <si>
    <t>加仑</t>
    <phoneticPr fontId="3" type="noConversion"/>
  </si>
  <si>
    <t>gallon</t>
    <phoneticPr fontId="3" type="noConversion"/>
  </si>
  <si>
    <t>语法</t>
    <phoneticPr fontId="3" type="noConversion"/>
  </si>
  <si>
    <t>grammar</t>
    <phoneticPr fontId="3" type="noConversion"/>
  </si>
  <si>
    <t>手册</t>
    <phoneticPr fontId="3" type="noConversion"/>
  </si>
  <si>
    <t>handbook</t>
    <phoneticPr fontId="3" type="noConversion"/>
  </si>
  <si>
    <t>教科书</t>
    <phoneticPr fontId="3" type="noConversion"/>
  </si>
  <si>
    <t>textbook</t>
    <phoneticPr fontId="3" type="noConversion"/>
  </si>
  <si>
    <t>笔记本</t>
    <phoneticPr fontId="3" type="noConversion"/>
  </si>
  <si>
    <t>notebook</t>
    <phoneticPr fontId="3" type="noConversion"/>
  </si>
  <si>
    <t>时事通讯</t>
    <phoneticPr fontId="3" type="noConversion"/>
  </si>
  <si>
    <t>newsletters</t>
    <phoneticPr fontId="3" type="noConversion"/>
  </si>
  <si>
    <t>河马</t>
    <phoneticPr fontId="3" type="noConversion"/>
  </si>
  <si>
    <t>hippo</t>
    <phoneticPr fontId="3" type="noConversion"/>
  </si>
  <si>
    <t>真空吸尘器</t>
    <phoneticPr fontId="3" type="noConversion"/>
  </si>
  <si>
    <t>hoover</t>
    <phoneticPr fontId="3" type="noConversion"/>
  </si>
  <si>
    <t>恐怖，震惊</t>
    <phoneticPr fontId="3" type="noConversion"/>
  </si>
  <si>
    <t>horror</t>
    <phoneticPr fontId="3" type="noConversion"/>
  </si>
  <si>
    <t>大厅，门厅</t>
    <phoneticPr fontId="3" type="noConversion"/>
  </si>
  <si>
    <t>hall</t>
    <phoneticPr fontId="3" type="noConversion"/>
  </si>
  <si>
    <t>免疫的</t>
    <phoneticPr fontId="3" type="noConversion"/>
  </si>
  <si>
    <t>灌溉</t>
    <phoneticPr fontId="3" type="noConversion"/>
  </si>
  <si>
    <t>激怒</t>
    <phoneticPr fontId="3" type="noConversion"/>
  </si>
  <si>
    <t>irritation</t>
    <phoneticPr fontId="3" type="noConversion"/>
  </si>
  <si>
    <t>无用的</t>
    <phoneticPr fontId="3" type="noConversion"/>
  </si>
  <si>
    <t>不可能的</t>
    <phoneticPr fontId="3" type="noConversion"/>
  </si>
  <si>
    <t>不正确的</t>
    <phoneticPr fontId="3" type="noConversion"/>
  </si>
  <si>
    <t>incorrect</t>
    <phoneticPr fontId="3" type="noConversion"/>
  </si>
  <si>
    <t>革新，改革</t>
    <phoneticPr fontId="3" type="noConversion"/>
  </si>
  <si>
    <t>innovation</t>
    <phoneticPr fontId="3" type="noConversion"/>
  </si>
  <si>
    <t>被采访人</t>
    <phoneticPr fontId="3" type="noConversion"/>
  </si>
  <si>
    <t>interviewee</t>
    <phoneticPr fontId="3" type="noConversion"/>
  </si>
  <si>
    <t>变小</t>
    <phoneticPr fontId="3" type="noConversion"/>
  </si>
  <si>
    <t>lessen</t>
    <phoneticPr fontId="3" type="noConversion"/>
  </si>
  <si>
    <t>度</t>
    <phoneticPr fontId="3" type="noConversion"/>
  </si>
  <si>
    <t>degree</t>
    <phoneticPr fontId="3" type="noConversion"/>
  </si>
  <si>
    <t>可能</t>
    <phoneticPr fontId="3" type="noConversion"/>
  </si>
  <si>
    <t>likelihood</t>
    <phoneticPr fontId="3" type="noConversion"/>
  </si>
  <si>
    <t>柴火</t>
    <phoneticPr fontId="3" type="noConversion"/>
  </si>
  <si>
    <t>firewood</t>
    <phoneticPr fontId="3" type="noConversion"/>
  </si>
  <si>
    <t>问题，事件</t>
    <phoneticPr fontId="3" type="noConversion"/>
  </si>
  <si>
    <t>matter</t>
    <phoneticPr fontId="3" type="noConversion"/>
  </si>
  <si>
    <t>哺乳动物</t>
    <phoneticPr fontId="3" type="noConversion"/>
  </si>
  <si>
    <t>mammal</t>
    <phoneticPr fontId="3" type="noConversion"/>
  </si>
  <si>
    <t>众多，大众</t>
    <phoneticPr fontId="3" type="noConversion"/>
  </si>
  <si>
    <t>mass</t>
    <phoneticPr fontId="3" type="noConversion"/>
  </si>
  <si>
    <t>按摩</t>
    <phoneticPr fontId="3" type="noConversion"/>
  </si>
  <si>
    <t>massage</t>
    <phoneticPr fontId="3" type="noConversion"/>
  </si>
  <si>
    <t>正午</t>
    <phoneticPr fontId="3" type="noConversion"/>
  </si>
  <si>
    <t>midday</t>
    <phoneticPr fontId="3" type="noConversion"/>
  </si>
  <si>
    <t>百万</t>
    <phoneticPr fontId="3" type="noConversion"/>
  </si>
  <si>
    <t>million</t>
    <phoneticPr fontId="3" type="noConversion"/>
  </si>
  <si>
    <t>解说员</t>
    <phoneticPr fontId="3" type="noConversion"/>
  </si>
  <si>
    <t>narrator</t>
    <phoneticPr fontId="3" type="noConversion"/>
  </si>
  <si>
    <t>守望，监视</t>
    <phoneticPr fontId="3" type="noConversion"/>
  </si>
  <si>
    <t>lookout</t>
    <phoneticPr fontId="3" type="noConversion"/>
  </si>
  <si>
    <t>场合，时机</t>
    <phoneticPr fontId="3" type="noConversion"/>
  </si>
  <si>
    <t>占有人，居住者</t>
    <phoneticPr fontId="3" type="noConversion"/>
  </si>
  <si>
    <t>工作，职业</t>
    <phoneticPr fontId="3" type="noConversion"/>
  </si>
  <si>
    <t>occupation</t>
    <phoneticPr fontId="3" type="noConversion"/>
  </si>
  <si>
    <t>职业的</t>
    <phoneticPr fontId="3" type="noConversion"/>
  </si>
  <si>
    <t>给予奉献，提议出现</t>
    <phoneticPr fontId="3" type="noConversion"/>
  </si>
  <si>
    <t>offer</t>
    <phoneticPr fontId="3" type="noConversion"/>
  </si>
  <si>
    <t>办公室</t>
    <phoneticPr fontId="3" type="noConversion"/>
  </si>
  <si>
    <t>office</t>
    <phoneticPr fontId="3" type="noConversion"/>
  </si>
  <si>
    <t>军官，官员</t>
    <phoneticPr fontId="3" type="noConversion"/>
  </si>
  <si>
    <t>officer</t>
    <phoneticPr fontId="3" type="noConversion"/>
  </si>
  <si>
    <t>文章，一节，一段</t>
    <phoneticPr fontId="3" type="noConversion"/>
  </si>
  <si>
    <t>passage</t>
    <phoneticPr fontId="3" type="noConversion"/>
  </si>
  <si>
    <t>护照，通行证</t>
    <phoneticPr fontId="3" type="noConversion"/>
  </si>
  <si>
    <t>passport</t>
    <phoneticPr fontId="3" type="noConversion"/>
  </si>
  <si>
    <t>口令</t>
    <phoneticPr fontId="3" type="noConversion"/>
  </si>
  <si>
    <t>password</t>
    <phoneticPr fontId="3" type="noConversion"/>
  </si>
  <si>
    <t>花样，图案</t>
    <phoneticPr fontId="3" type="noConversion"/>
  </si>
  <si>
    <t>pattern</t>
    <phoneticPr fontId="3" type="noConversion"/>
  </si>
  <si>
    <t>划桨</t>
    <phoneticPr fontId="3" type="noConversion"/>
  </si>
  <si>
    <t>paddle</t>
    <phoneticPr fontId="3" type="noConversion"/>
  </si>
  <si>
    <t>便士</t>
    <phoneticPr fontId="3" type="noConversion"/>
  </si>
  <si>
    <t>penny</t>
    <phoneticPr fontId="3" type="noConversion"/>
  </si>
  <si>
    <t>人事，职员</t>
    <phoneticPr fontId="3" type="noConversion"/>
  </si>
  <si>
    <t>personnel</t>
    <phoneticPr fontId="3" type="noConversion"/>
  </si>
  <si>
    <t>陶器</t>
    <phoneticPr fontId="3" type="noConversion"/>
  </si>
  <si>
    <t>pottery</t>
    <phoneticPr fontId="3" type="noConversion"/>
  </si>
  <si>
    <t>过程</t>
    <phoneticPr fontId="3" type="noConversion"/>
  </si>
  <si>
    <t>process</t>
    <phoneticPr fontId="3" type="noConversion"/>
  </si>
  <si>
    <t>加工，处理</t>
    <phoneticPr fontId="3" type="noConversion"/>
  </si>
  <si>
    <t>processing</t>
    <phoneticPr fontId="3" type="noConversion"/>
  </si>
  <si>
    <t>职业</t>
    <phoneticPr fontId="3" type="noConversion"/>
  </si>
  <si>
    <t>profession</t>
    <phoneticPr fontId="3" type="noConversion"/>
  </si>
  <si>
    <t>教授</t>
    <phoneticPr fontId="3" type="noConversion"/>
  </si>
  <si>
    <t>professor</t>
    <phoneticPr fontId="3" type="noConversion"/>
  </si>
  <si>
    <t>问卷</t>
    <phoneticPr fontId="3" type="noConversion"/>
  </si>
  <si>
    <t>questionnaire</t>
    <phoneticPr fontId="3" type="noConversion"/>
  </si>
  <si>
    <t>可能性</t>
    <phoneticPr fontId="3" type="noConversion"/>
  </si>
  <si>
    <t>possibility</t>
    <phoneticPr fontId="3" type="noConversion"/>
  </si>
  <si>
    <t>机会，机遇</t>
    <phoneticPr fontId="3" type="noConversion"/>
  </si>
  <si>
    <t>opportunities</t>
    <phoneticPr fontId="3" type="noConversion"/>
  </si>
  <si>
    <t>抢劫者</t>
    <phoneticPr fontId="3" type="noConversion"/>
  </si>
  <si>
    <t>robber</t>
    <phoneticPr fontId="3" type="noConversion"/>
  </si>
  <si>
    <t>水濑</t>
    <phoneticPr fontId="3" type="noConversion"/>
  </si>
  <si>
    <t>otter</t>
    <phoneticPr fontId="3" type="noConversion"/>
  </si>
  <si>
    <t>垃圾</t>
    <phoneticPr fontId="3" type="noConversion"/>
  </si>
  <si>
    <t>rubbish</t>
    <phoneticPr fontId="3" type="noConversion"/>
  </si>
  <si>
    <t>俄罗斯</t>
    <phoneticPr fontId="3" type="noConversion"/>
  </si>
  <si>
    <t>Russia</t>
    <phoneticPr fontId="3" type="noConversion"/>
  </si>
  <si>
    <t>学校</t>
    <phoneticPr fontId="3" type="noConversion"/>
  </si>
  <si>
    <t>school</t>
    <phoneticPr fontId="3" type="noConversion"/>
  </si>
  <si>
    <t>袋鼠</t>
    <phoneticPr fontId="3" type="noConversion"/>
  </si>
  <si>
    <t>kangaroo</t>
    <phoneticPr fontId="3" type="noConversion"/>
  </si>
  <si>
    <t>苏格兰人</t>
    <phoneticPr fontId="3" type="noConversion"/>
  </si>
  <si>
    <t>Scottish</t>
    <phoneticPr fontId="3" type="noConversion"/>
  </si>
  <si>
    <t>屏幕</t>
    <phoneticPr fontId="3" type="noConversion"/>
  </si>
  <si>
    <t>screen</t>
    <phoneticPr fontId="3" type="noConversion"/>
  </si>
  <si>
    <t>海鲜</t>
    <phoneticPr fontId="3" type="noConversion"/>
  </si>
  <si>
    <t>seafood</t>
    <phoneticPr fontId="3" type="noConversion"/>
  </si>
  <si>
    <t>解决，结账</t>
    <phoneticPr fontId="3" type="noConversion"/>
  </si>
  <si>
    <t>settlement</t>
    <phoneticPr fontId="3" type="noConversion"/>
  </si>
  <si>
    <t>接驳车</t>
    <phoneticPr fontId="3" type="noConversion"/>
  </si>
  <si>
    <t>shuttle</t>
    <phoneticPr fontId="3" type="noConversion"/>
  </si>
  <si>
    <t>购物</t>
    <phoneticPr fontId="3" type="noConversion"/>
  </si>
  <si>
    <t>shopping</t>
    <phoneticPr fontId="3" type="noConversion"/>
  </si>
  <si>
    <t>游泳</t>
    <phoneticPr fontId="3" type="noConversion"/>
  </si>
  <si>
    <t>swimming</t>
    <phoneticPr fontId="3" type="noConversion"/>
  </si>
  <si>
    <t>滑雪</t>
    <phoneticPr fontId="3" type="noConversion"/>
  </si>
  <si>
    <t>skiing</t>
    <phoneticPr fontId="3" type="noConversion"/>
  </si>
  <si>
    <t>安装，设置</t>
    <phoneticPr fontId="3" type="noConversion"/>
  </si>
  <si>
    <t>setting</t>
    <phoneticPr fontId="3" type="noConversion"/>
  </si>
  <si>
    <t>钢</t>
    <phoneticPr fontId="3" type="noConversion"/>
  </si>
  <si>
    <t>steel</t>
    <phoneticPr fontId="3" type="noConversion"/>
  </si>
  <si>
    <t>掌舵</t>
    <phoneticPr fontId="3" type="noConversion"/>
  </si>
  <si>
    <t>steering</t>
    <phoneticPr fontId="3" type="noConversion"/>
  </si>
  <si>
    <t>压力</t>
    <phoneticPr fontId="3" type="noConversion"/>
  </si>
  <si>
    <t>stress</t>
    <phoneticPr fontId="3" type="noConversion"/>
  </si>
  <si>
    <t>紧张的</t>
    <phoneticPr fontId="3" type="noConversion"/>
  </si>
  <si>
    <t>硬的</t>
    <phoneticPr fontId="3" type="noConversion"/>
  </si>
  <si>
    <t>stiff</t>
    <phoneticPr fontId="3" type="noConversion"/>
  </si>
  <si>
    <t>职员</t>
    <phoneticPr fontId="3" type="noConversion"/>
  </si>
  <si>
    <t>staff</t>
    <phoneticPr fontId="3" type="noConversion"/>
  </si>
  <si>
    <t>材料，原料</t>
    <phoneticPr fontId="3" type="noConversion"/>
  </si>
  <si>
    <t>stuff</t>
    <phoneticPr fontId="3" type="noConversion"/>
  </si>
  <si>
    <t>悬崖</t>
    <phoneticPr fontId="3" type="noConversion"/>
  </si>
  <si>
    <t>cliff</t>
    <phoneticPr fontId="3" type="noConversion"/>
  </si>
  <si>
    <t>成功</t>
    <phoneticPr fontId="3" type="noConversion"/>
  </si>
  <si>
    <t>success</t>
    <phoneticPr fontId="3" type="noConversion"/>
  </si>
  <si>
    <t>成功的</t>
    <phoneticPr fontId="3" type="noConversion"/>
  </si>
  <si>
    <t>开会，会议</t>
    <phoneticPr fontId="3" type="noConversion"/>
  </si>
  <si>
    <t>session</t>
    <phoneticPr fontId="3" type="noConversion"/>
  </si>
  <si>
    <t>让步</t>
    <phoneticPr fontId="3" type="noConversion"/>
  </si>
  <si>
    <t>concession</t>
    <phoneticPr fontId="3" type="noConversion"/>
  </si>
  <si>
    <t>概括的</t>
    <phoneticPr fontId="3" type="noConversion"/>
  </si>
  <si>
    <t>summary</t>
    <phoneticPr fontId="3" type="noConversion"/>
  </si>
  <si>
    <t>夏天</t>
    <phoneticPr fontId="3" type="noConversion"/>
  </si>
  <si>
    <t>summer</t>
    <phoneticPr fontId="3" type="noConversion"/>
  </si>
  <si>
    <t>顶峰</t>
    <phoneticPr fontId="3" type="noConversion"/>
  </si>
  <si>
    <t>summit</t>
    <phoneticPr fontId="3" type="noConversion"/>
  </si>
  <si>
    <t>增补的</t>
    <phoneticPr fontId="3" type="noConversion"/>
  </si>
  <si>
    <t>supplementary</t>
    <phoneticPr fontId="3" type="noConversion"/>
  </si>
  <si>
    <t>供给</t>
    <phoneticPr fontId="3" type="noConversion"/>
  </si>
  <si>
    <t>supply</t>
    <phoneticPr fontId="3" type="noConversion"/>
  </si>
  <si>
    <t>支撑</t>
    <phoneticPr fontId="3" type="noConversion"/>
  </si>
  <si>
    <t>support</t>
    <phoneticPr fontId="3" type="noConversion"/>
  </si>
  <si>
    <t>赞助的</t>
    <phoneticPr fontId="3" type="noConversion"/>
  </si>
  <si>
    <t>supportive</t>
    <phoneticPr fontId="3" type="noConversion"/>
  </si>
  <si>
    <t>网球</t>
    <phoneticPr fontId="3" type="noConversion"/>
  </si>
  <si>
    <t>tennis</t>
    <phoneticPr fontId="3" type="noConversion"/>
  </si>
  <si>
    <t>隧道</t>
    <phoneticPr fontId="3" type="noConversion"/>
  </si>
  <si>
    <t>tunnel</t>
    <phoneticPr fontId="3" type="noConversion"/>
  </si>
  <si>
    <t>牙痛</t>
    <phoneticPr fontId="3" type="noConversion"/>
  </si>
  <si>
    <t>toothache</t>
    <phoneticPr fontId="3" type="noConversion"/>
  </si>
  <si>
    <t>交通</t>
    <phoneticPr fontId="3" type="noConversion"/>
  </si>
  <si>
    <t>traffic</t>
    <phoneticPr fontId="3" type="noConversion"/>
  </si>
  <si>
    <t>有露台的</t>
    <phoneticPr fontId="3" type="noConversion"/>
  </si>
  <si>
    <t>terraced</t>
    <phoneticPr fontId="3" type="noConversion"/>
  </si>
  <si>
    <t>疆土的</t>
    <phoneticPr fontId="3" type="noConversion"/>
  </si>
  <si>
    <t>terrestrial</t>
    <phoneticPr fontId="3" type="noConversion"/>
  </si>
  <si>
    <t>疫苗</t>
    <phoneticPr fontId="3" type="noConversion"/>
  </si>
  <si>
    <t>vaccine</t>
    <phoneticPr fontId="3" type="noConversion"/>
  </si>
  <si>
    <t>真空</t>
    <phoneticPr fontId="3" type="noConversion"/>
  </si>
  <si>
    <t>vacuum</t>
    <phoneticPr fontId="3" type="noConversion"/>
  </si>
  <si>
    <t>女服务员</t>
    <phoneticPr fontId="3" type="noConversion"/>
  </si>
  <si>
    <t>waitress</t>
    <phoneticPr fontId="3" type="noConversion"/>
  </si>
  <si>
    <t>柳树</t>
    <phoneticPr fontId="3" type="noConversion"/>
  </si>
  <si>
    <t>willow</t>
    <phoneticPr fontId="3" type="noConversion"/>
  </si>
  <si>
    <t>野草</t>
    <phoneticPr fontId="3" type="noConversion"/>
  </si>
  <si>
    <t>weed</t>
    <phoneticPr fontId="3" type="noConversion"/>
  </si>
  <si>
    <t>木材</t>
    <phoneticPr fontId="3" type="noConversion"/>
  </si>
  <si>
    <t>wood</t>
    <phoneticPr fontId="3" type="noConversion"/>
  </si>
  <si>
    <t>森林</t>
    <phoneticPr fontId="3" type="noConversion"/>
  </si>
  <si>
    <t>woods</t>
    <phoneticPr fontId="3" type="noConversion"/>
  </si>
  <si>
    <t>动物园</t>
    <phoneticPr fontId="3" type="noConversion"/>
  </si>
  <si>
    <t>zoo</t>
    <phoneticPr fontId="3" type="noConversion"/>
  </si>
  <si>
    <t>序列</t>
    <phoneticPr fontId="2" type="noConversion"/>
  </si>
  <si>
    <t>中文</t>
    <phoneticPr fontId="2" type="noConversion"/>
  </si>
  <si>
    <t>拼写</t>
    <phoneticPr fontId="2" type="noConversion"/>
  </si>
  <si>
    <t>自动识别</t>
    <phoneticPr fontId="2" type="noConversion"/>
  </si>
  <si>
    <t>听写</t>
    <phoneticPr fontId="2" type="noConversion"/>
  </si>
  <si>
    <t>Chapter3 Test Paper 1</t>
  </si>
  <si>
    <t>Chapter3 Test Paper 3</t>
  </si>
  <si>
    <t>Chapter3 Test Paper 4</t>
  </si>
  <si>
    <t>Chapter3 Test Paper 5</t>
  </si>
  <si>
    <t>Chapter3 Test Paper 6</t>
  </si>
  <si>
    <t>Chapter3 Test Paper 7</t>
  </si>
  <si>
    <t>Chapter3 Test Paper 8</t>
  </si>
  <si>
    <t>wcddhm</t>
    <phoneticPr fontId="2" type="noConversion"/>
  </si>
  <si>
    <t>Chapter4 Test Paper 1</t>
    <phoneticPr fontId="2" type="noConversion"/>
  </si>
  <si>
    <t>Chapter4 Test Paper 2</t>
    <phoneticPr fontId="2" type="noConversion"/>
  </si>
  <si>
    <t>Chapter4 Test Paper 3</t>
  </si>
  <si>
    <t>Chapter4 Test Paper 4 adverb</t>
    <phoneticPr fontId="2" type="noConversion"/>
  </si>
  <si>
    <t>Chapter5 Test Paper 1</t>
    <phoneticPr fontId="2" type="noConversion"/>
  </si>
  <si>
    <t>Chapter5 Test Paper 2</t>
  </si>
  <si>
    <t>Chapter5 Test Paper 3</t>
  </si>
  <si>
    <t>Chapter5 Test Paper 4</t>
  </si>
  <si>
    <t>Chapter5 Test Paper 5</t>
  </si>
  <si>
    <t>Chapter5 Test Paper 6</t>
  </si>
  <si>
    <t>Chapter5 Test Paper 7</t>
  </si>
  <si>
    <t>Chapter5 Test Paper 8</t>
  </si>
  <si>
    <t>Chapter5 Test Paper 9</t>
  </si>
  <si>
    <t>Chapter5 Test Paper 10</t>
  </si>
  <si>
    <t>Chapter5 Test Paper 11</t>
  </si>
  <si>
    <t>Chapter5 Test Paper 12</t>
  </si>
  <si>
    <t>点我回到顶部</t>
    <phoneticPr fontId="2" type="noConversion"/>
  </si>
  <si>
    <t>回到顶部</t>
    <phoneticPr fontId="2" type="noConversion"/>
  </si>
  <si>
    <t>Chapter3 Test Paper 2</t>
    <phoneticPr fontId="2" type="noConversion"/>
  </si>
  <si>
    <t>Chapter3 Test Paper 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</si>
</sst>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u/>
      <sz val="12"/>
      <color theme="10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1" fillId="0" borderId="3" xfId="0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0" fillId="0" borderId="0" xfId="0" applyProtection="1">
      <alignment vertical="center"/>
      <protection hidden="1"/>
    </xf>
    <xf numFmtId="10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4" fillId="0" borderId="0" xfId="1" applyProtection="1">
      <alignment vertical="center"/>
      <protection locked="0"/>
    </xf>
    <xf numFmtId="0" fontId="4" fillId="0" borderId="0" xfId="1">
      <alignment vertical="center"/>
    </xf>
    <xf numFmtId="0" fontId="4" fillId="0" borderId="0" xfId="1" applyAlignment="1">
      <alignment horizontal="center" vertical="center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FEBC-BEC4-DB43-AB7B-4BAC80CD3119}">
  <sheetPr codeName="Sheet1"/>
  <dimension ref="A1:K3078"/>
  <sheetViews>
    <sheetView tabSelected="1" workbookViewId="0">
      <pane ySplit="1" topLeftCell="A211" activePane="bottomLeft" state="frozen"/>
      <selection pane="bottomLeft" activeCell="D58" sqref="D58"/>
    </sheetView>
  </sheetViews>
  <sheetFormatPr baseColWidth="10" defaultRowHeight="16"/>
  <cols>
    <col min="1" max="1" width="43.6640625" customWidth="1"/>
    <col min="2" max="2" width="16" hidden="1" customWidth="1"/>
    <col min="3" max="3" width="31" hidden="1" customWidth="1"/>
    <col min="4" max="4" width="33" style="7" customWidth="1"/>
    <col min="7" max="7" width="31.5" customWidth="1"/>
    <col min="9" max="9" width="28" customWidth="1"/>
    <col min="11" max="11" width="28.33203125" customWidth="1"/>
  </cols>
  <sheetData>
    <row r="1" spans="1:11">
      <c r="A1" s="7" t="s">
        <v>5901</v>
      </c>
      <c r="G1" s="9" t="s">
        <v>5919</v>
      </c>
      <c r="I1" s="10"/>
      <c r="J1" s="10"/>
      <c r="K1" s="11"/>
    </row>
    <row r="2" spans="1:11">
      <c r="A2" s="7" t="s">
        <v>5889</v>
      </c>
      <c r="B2" s="5" t="s">
        <v>5890</v>
      </c>
      <c r="C2" s="5" t="s">
        <v>5891</v>
      </c>
      <c r="D2" s="7" t="s">
        <v>5893</v>
      </c>
      <c r="E2" t="s">
        <v>5892</v>
      </c>
      <c r="G2" s="9" t="s">
        <v>5894</v>
      </c>
      <c r="H2" s="6">
        <f>SUM(E4:E115)/(115-4+1)</f>
        <v>0</v>
      </c>
      <c r="K2" s="10"/>
    </row>
    <row r="3" spans="1:11">
      <c r="A3" s="12" t="s">
        <v>0</v>
      </c>
      <c r="B3" s="13"/>
      <c r="C3" s="13"/>
      <c r="D3" s="9"/>
      <c r="G3" s="9" t="s">
        <v>5920</v>
      </c>
      <c r="H3" s="6">
        <f>SUM(E117:E259)/(259-117+1)</f>
        <v>0</v>
      </c>
    </row>
    <row r="4" spans="1:11">
      <c r="A4" s="1">
        <f>IF(C4="","",COUNTA(C$4:C4))</f>
        <v>1</v>
      </c>
      <c r="B4" s="2" t="s">
        <v>1</v>
      </c>
      <c r="C4" s="2" t="s">
        <v>2</v>
      </c>
      <c r="D4" s="9"/>
      <c r="E4">
        <f>IF(C4=D4,1,0)</f>
        <v>0</v>
      </c>
      <c r="G4" s="9" t="s">
        <v>5895</v>
      </c>
      <c r="H4" s="6">
        <f>SUM(E261:E373)/(373-261+1)</f>
        <v>0</v>
      </c>
    </row>
    <row r="5" spans="1:11">
      <c r="A5" s="1">
        <f>IF(C5="","",COUNTA(C$4:C5))</f>
        <v>2</v>
      </c>
      <c r="B5" s="1" t="s">
        <v>3</v>
      </c>
      <c r="C5" s="1" t="s">
        <v>4</v>
      </c>
      <c r="D5" s="9"/>
      <c r="E5">
        <f t="shared" ref="E5:E68" si="0">IF(C5=D5,1,0)</f>
        <v>0</v>
      </c>
      <c r="G5" s="9" t="s">
        <v>5896</v>
      </c>
      <c r="H5" s="6">
        <f>SUM(E375:E486)/(486-375+1)</f>
        <v>0</v>
      </c>
    </row>
    <row r="6" spans="1:11">
      <c r="A6" s="1">
        <f>IF(C6="","",COUNTA(C$4:C6))</f>
        <v>3</v>
      </c>
      <c r="B6" s="1" t="s">
        <v>5</v>
      </c>
      <c r="C6" s="1" t="s">
        <v>6</v>
      </c>
      <c r="D6" s="9"/>
      <c r="E6">
        <f>IF(C6=D6,1,0)</f>
        <v>0</v>
      </c>
      <c r="G6" s="9" t="s">
        <v>5897</v>
      </c>
      <c r="H6" s="6">
        <f>SUM(E488:E632)/(632-488+1)</f>
        <v>0</v>
      </c>
    </row>
    <row r="7" spans="1:11">
      <c r="A7" s="1">
        <f>IF(C7="","",COUNTA(C$4:C7))</f>
        <v>4</v>
      </c>
      <c r="B7" s="1" t="s">
        <v>7</v>
      </c>
      <c r="C7" s="1" t="s">
        <v>8</v>
      </c>
      <c r="D7" s="9"/>
      <c r="E7">
        <f>IF(C7=D7,1,0)</f>
        <v>0</v>
      </c>
      <c r="G7" s="9" t="s">
        <v>5898</v>
      </c>
      <c r="H7" s="6">
        <f>SUM(E634:E746)/(746-634+1)</f>
        <v>0</v>
      </c>
    </row>
    <row r="8" spans="1:11">
      <c r="A8" s="1">
        <f>IF(C8="","",COUNTA(C$4:C8))</f>
        <v>5</v>
      </c>
      <c r="B8" s="1" t="s">
        <v>9</v>
      </c>
      <c r="C8" s="1" t="s">
        <v>10</v>
      </c>
      <c r="D8" s="9"/>
      <c r="E8">
        <f>IF(C8=D7,1,0)</f>
        <v>0</v>
      </c>
      <c r="G8" s="9" t="s">
        <v>5899</v>
      </c>
      <c r="H8" s="6">
        <f>SUM(E748:E851)/(851-748+1)</f>
        <v>0</v>
      </c>
    </row>
    <row r="9" spans="1:11">
      <c r="A9" s="1">
        <f>IF(C9="","",COUNTA(C$4:C9))</f>
        <v>6</v>
      </c>
      <c r="B9" s="1" t="s">
        <v>11</v>
      </c>
      <c r="C9" s="1" t="s">
        <v>12</v>
      </c>
      <c r="D9" s="9"/>
      <c r="E9">
        <f t="shared" si="0"/>
        <v>0</v>
      </c>
      <c r="G9" s="9" t="s">
        <v>5900</v>
      </c>
      <c r="H9" s="6">
        <f>SUM(E853:E1003)/(1003-853+1)</f>
        <v>0</v>
      </c>
    </row>
    <row r="10" spans="1:11">
      <c r="A10" s="1">
        <f>IF(C10="","",COUNTA(C$4:C10))</f>
        <v>7</v>
      </c>
      <c r="B10" s="1" t="s">
        <v>13</v>
      </c>
      <c r="C10" s="1" t="s">
        <v>14</v>
      </c>
      <c r="D10" s="9"/>
      <c r="E10">
        <f t="shared" si="0"/>
        <v>0</v>
      </c>
      <c r="G10" s="9" t="s">
        <v>5921</v>
      </c>
      <c r="H10" s="6">
        <f>SUM(E1005:E1146)/(1146-1005+1)</f>
        <v>0</v>
      </c>
    </row>
    <row r="11" spans="1:11">
      <c r="A11" s="1">
        <f>IF(C11="","",COUNTA(C$4:C11))</f>
        <v>8</v>
      </c>
      <c r="B11" s="1" t="s">
        <v>15</v>
      </c>
      <c r="C11" s="1" t="s">
        <v>16</v>
      </c>
      <c r="D11" s="9"/>
      <c r="E11">
        <f t="shared" si="0"/>
        <v>0</v>
      </c>
      <c r="G11" s="9" t="s">
        <v>5902</v>
      </c>
      <c r="H11" s="6">
        <f>SUM(E1148:E1251)/(1251-1148+1)</f>
        <v>0</v>
      </c>
    </row>
    <row r="12" spans="1:11">
      <c r="A12" s="1">
        <f>IF(C12="","",COUNTA(C$4:C12))</f>
        <v>9</v>
      </c>
      <c r="B12" s="1" t="s">
        <v>17</v>
      </c>
      <c r="C12" s="1" t="s">
        <v>18</v>
      </c>
      <c r="E12">
        <f t="shared" si="0"/>
        <v>0</v>
      </c>
      <c r="G12" s="9" t="s">
        <v>5903</v>
      </c>
      <c r="H12" s="6">
        <f>SUM(E1253:E1356)/(1356-1253+1)</f>
        <v>0</v>
      </c>
    </row>
    <row r="13" spans="1:11">
      <c r="A13" s="1">
        <f>IF(C13="","",COUNTA(C$4:C13))</f>
        <v>10</v>
      </c>
      <c r="B13" s="1" t="s">
        <v>19</v>
      </c>
      <c r="C13" s="1" t="s">
        <v>20</v>
      </c>
      <c r="E13">
        <f t="shared" si="0"/>
        <v>0</v>
      </c>
      <c r="G13" s="9" t="s">
        <v>5904</v>
      </c>
      <c r="H13" s="6">
        <f>SUM(E1358:E1483)/(1483-1358+1)</f>
        <v>0</v>
      </c>
    </row>
    <row r="14" spans="1:11">
      <c r="A14" s="1">
        <f>IF(C14="","",COUNTA(C$4:C14))</f>
        <v>11</v>
      </c>
      <c r="B14" s="1" t="s">
        <v>21</v>
      </c>
      <c r="C14" s="1" t="s">
        <v>22</v>
      </c>
      <c r="E14">
        <f t="shared" si="0"/>
        <v>0</v>
      </c>
      <c r="G14" s="9" t="s">
        <v>5905</v>
      </c>
      <c r="H14" s="6">
        <f>SUM(E1485:E1496)/(1496-1485+1)</f>
        <v>0</v>
      </c>
    </row>
    <row r="15" spans="1:11">
      <c r="A15" s="1">
        <f>IF(C15="","",COUNTA(C$4:C15))</f>
        <v>12</v>
      </c>
      <c r="B15" s="1" t="s">
        <v>23</v>
      </c>
      <c r="C15" s="1" t="s">
        <v>24</v>
      </c>
      <c r="E15">
        <f t="shared" si="0"/>
        <v>0</v>
      </c>
      <c r="G15" s="9" t="s">
        <v>5906</v>
      </c>
      <c r="H15" s="6">
        <f>SUM(E1498:E1611)/(1611-1498+1)</f>
        <v>0</v>
      </c>
    </row>
    <row r="16" spans="1:11">
      <c r="A16" s="1">
        <f>IF(C16="","",COUNTA(C$4:C16))</f>
        <v>13</v>
      </c>
      <c r="B16" s="1" t="s">
        <v>25</v>
      </c>
      <c r="C16" s="1" t="s">
        <v>26</v>
      </c>
      <c r="E16">
        <f t="shared" si="0"/>
        <v>0</v>
      </c>
      <c r="G16" s="9" t="s">
        <v>5907</v>
      </c>
      <c r="H16" s="6">
        <f>SUM(E1613:E1723)/(1723-1613+1)</f>
        <v>0</v>
      </c>
    </row>
    <row r="17" spans="1:8">
      <c r="A17" s="1">
        <f>IF(C17="","",COUNTA(C$4:C17))</f>
        <v>14</v>
      </c>
      <c r="B17" s="1" t="s">
        <v>27</v>
      </c>
      <c r="C17" s="1" t="s">
        <v>28</v>
      </c>
      <c r="E17">
        <f t="shared" si="0"/>
        <v>0</v>
      </c>
      <c r="G17" s="9" t="s">
        <v>5908</v>
      </c>
      <c r="H17" s="6">
        <f>SUM(E1725:E1838)/(1838-1725+1)</f>
        <v>0</v>
      </c>
    </row>
    <row r="18" spans="1:8">
      <c r="A18" s="1">
        <f>IF(C18="","",COUNTA(C$4:C18))</f>
        <v>15</v>
      </c>
      <c r="B18" s="1" t="s">
        <v>29</v>
      </c>
      <c r="C18" s="1" t="s">
        <v>30</v>
      </c>
      <c r="E18">
        <f t="shared" si="0"/>
        <v>0</v>
      </c>
      <c r="G18" s="9" t="s">
        <v>5909</v>
      </c>
      <c r="H18" s="6">
        <f>SUM(E1840:E1944)/(1944-1840+1)</f>
        <v>0</v>
      </c>
    </row>
    <row r="19" spans="1:8">
      <c r="A19" s="1">
        <f>IF(C19="","",COUNTA(C$4:C19))</f>
        <v>16</v>
      </c>
      <c r="B19" s="1" t="s">
        <v>31</v>
      </c>
      <c r="C19" s="1" t="s">
        <v>32</v>
      </c>
      <c r="E19">
        <f t="shared" si="0"/>
        <v>0</v>
      </c>
      <c r="G19" s="9" t="s">
        <v>5910</v>
      </c>
      <c r="H19" s="6">
        <f>SUM(E1946:E2045)/(2045-1946+1)</f>
        <v>0</v>
      </c>
    </row>
    <row r="20" spans="1:8">
      <c r="A20" s="1">
        <f>IF(C20="","",COUNTA(C$4:C20))</f>
        <v>17</v>
      </c>
      <c r="B20" s="1" t="s">
        <v>33</v>
      </c>
      <c r="C20" s="1" t="s">
        <v>34</v>
      </c>
      <c r="E20">
        <f t="shared" si="0"/>
        <v>0</v>
      </c>
      <c r="G20" s="9" t="s">
        <v>5911</v>
      </c>
      <c r="H20" s="6">
        <f>SUM(E2047:E2154)/(2154-2047+1)</f>
        <v>0</v>
      </c>
    </row>
    <row r="21" spans="1:8">
      <c r="A21" s="1">
        <f>IF(C21="","",COUNTA(C$4:C21))</f>
        <v>18</v>
      </c>
      <c r="B21" s="1" t="s">
        <v>35</v>
      </c>
      <c r="C21" s="1" t="s">
        <v>36</v>
      </c>
      <c r="E21">
        <f t="shared" si="0"/>
        <v>0</v>
      </c>
      <c r="G21" s="9" t="s">
        <v>5912</v>
      </c>
      <c r="H21" s="6">
        <f>SUM(E2156:E2285)/(2285-2156+1)</f>
        <v>0</v>
      </c>
    </row>
    <row r="22" spans="1:8">
      <c r="A22" s="1">
        <f>IF(C22="","",COUNTA(C$4:C22))</f>
        <v>19</v>
      </c>
      <c r="B22" s="1" t="s">
        <v>37</v>
      </c>
      <c r="C22" s="1" t="s">
        <v>38</v>
      </c>
      <c r="E22">
        <f t="shared" si="0"/>
        <v>0</v>
      </c>
      <c r="G22" s="9" t="s">
        <v>5913</v>
      </c>
      <c r="H22" s="6">
        <f>SUM(E2287:E2430)/(2430-2287+1)</f>
        <v>0</v>
      </c>
    </row>
    <row r="23" spans="1:8">
      <c r="A23" s="1">
        <f>IF(C23="","",COUNTA(C$4:C23))</f>
        <v>20</v>
      </c>
      <c r="B23" s="1" t="s">
        <v>39</v>
      </c>
      <c r="C23" s="1" t="s">
        <v>40</v>
      </c>
      <c r="E23">
        <f t="shared" si="0"/>
        <v>0</v>
      </c>
      <c r="G23" s="9" t="s">
        <v>5914</v>
      </c>
      <c r="H23" s="6">
        <f>SUM(E2432:E2570)/(2570-2432+1)</f>
        <v>0</v>
      </c>
    </row>
    <row r="24" spans="1:8">
      <c r="A24" s="1">
        <f>IF(C24="","",COUNTA(C$4:C24))</f>
        <v>21</v>
      </c>
      <c r="B24" s="1" t="s">
        <v>41</v>
      </c>
      <c r="C24" s="1" t="s">
        <v>42</v>
      </c>
      <c r="E24">
        <f t="shared" si="0"/>
        <v>0</v>
      </c>
      <c r="G24" s="9" t="s">
        <v>5915</v>
      </c>
      <c r="H24" s="6">
        <f>SUM(E2572:E2713)/(2713-2572+1)</f>
        <v>0</v>
      </c>
    </row>
    <row r="25" spans="1:8">
      <c r="A25" s="1">
        <f>IF(C25="","",COUNTA(C$4:C25))</f>
        <v>22</v>
      </c>
      <c r="B25" s="1" t="s">
        <v>43</v>
      </c>
      <c r="C25" s="1" t="s">
        <v>44</v>
      </c>
      <c r="E25">
        <f t="shared" si="0"/>
        <v>0</v>
      </c>
      <c r="G25" s="9" t="s">
        <v>5916</v>
      </c>
      <c r="H25" s="6">
        <f>SUM(E2715:E2841)/(2841-2715+1)</f>
        <v>0</v>
      </c>
    </row>
    <row r="26" spans="1:8">
      <c r="A26" s="1">
        <f>IF(C26="","",COUNTA(C$4:C26))</f>
        <v>23</v>
      </c>
      <c r="B26" s="1" t="s">
        <v>45</v>
      </c>
      <c r="C26" s="1" t="s">
        <v>46</v>
      </c>
      <c r="E26">
        <f t="shared" si="0"/>
        <v>0</v>
      </c>
      <c r="G26" s="9" t="s">
        <v>5917</v>
      </c>
      <c r="H26" s="6">
        <f>SUM(E2843:E3077)/(1251-1148+1)</f>
        <v>0</v>
      </c>
    </row>
    <row r="27" spans="1:8">
      <c r="A27" s="1">
        <f>IF(C27="","",COUNTA(C$4:C27))</f>
        <v>24</v>
      </c>
      <c r="B27" s="1" t="s">
        <v>47</v>
      </c>
      <c r="C27" s="1" t="s">
        <v>48</v>
      </c>
      <c r="E27">
        <f t="shared" si="0"/>
        <v>0</v>
      </c>
    </row>
    <row r="28" spans="1:8">
      <c r="A28" s="1">
        <f>IF(C28="","",COUNTA(C$4:C28))</f>
        <v>25</v>
      </c>
      <c r="B28" s="1" t="s">
        <v>49</v>
      </c>
      <c r="C28" s="1" t="s">
        <v>50</v>
      </c>
      <c r="E28">
        <f t="shared" si="0"/>
        <v>0</v>
      </c>
    </row>
    <row r="29" spans="1:8">
      <c r="A29" s="1">
        <f>IF(C29="","",COUNTA(C$4:C29))</f>
        <v>26</v>
      </c>
      <c r="B29" s="1" t="s">
        <v>51</v>
      </c>
      <c r="C29" s="1" t="s">
        <v>52</v>
      </c>
      <c r="E29">
        <f t="shared" si="0"/>
        <v>0</v>
      </c>
    </row>
    <row r="30" spans="1:8">
      <c r="A30" s="1">
        <f>IF(C30="","",COUNTA(C$4:C30))</f>
        <v>27</v>
      </c>
      <c r="B30" s="1" t="s">
        <v>53</v>
      </c>
      <c r="C30" s="1" t="s">
        <v>54</v>
      </c>
      <c r="E30">
        <f t="shared" si="0"/>
        <v>0</v>
      </c>
    </row>
    <row r="31" spans="1:8">
      <c r="A31" s="1">
        <f>IF(C31="","",COUNTA(C$4:C31))</f>
        <v>28</v>
      </c>
      <c r="B31" s="1" t="s">
        <v>55</v>
      </c>
      <c r="C31" s="1" t="s">
        <v>56</v>
      </c>
      <c r="E31">
        <f t="shared" si="0"/>
        <v>0</v>
      </c>
    </row>
    <row r="32" spans="1:8">
      <c r="A32" s="1">
        <f>IF(C32="","",COUNTA(C$4:C32))</f>
        <v>29</v>
      </c>
      <c r="B32" s="1" t="s">
        <v>57</v>
      </c>
      <c r="C32" s="1" t="s">
        <v>58</v>
      </c>
      <c r="E32">
        <f t="shared" si="0"/>
        <v>0</v>
      </c>
    </row>
    <row r="33" spans="1:5">
      <c r="A33" s="1">
        <f>IF(C33="","",COUNTA(C$4:C33))</f>
        <v>30</v>
      </c>
      <c r="B33" s="1" t="s">
        <v>59</v>
      </c>
      <c r="C33" s="1" t="s">
        <v>60</v>
      </c>
      <c r="E33">
        <f t="shared" si="0"/>
        <v>0</v>
      </c>
    </row>
    <row r="34" spans="1:5">
      <c r="A34" s="1">
        <f>IF(C34="","",COUNTA(C$4:C34))</f>
        <v>31</v>
      </c>
      <c r="B34" s="1" t="s">
        <v>61</v>
      </c>
      <c r="C34" s="1" t="s">
        <v>62</v>
      </c>
      <c r="E34">
        <f t="shared" si="0"/>
        <v>0</v>
      </c>
    </row>
    <row r="35" spans="1:5">
      <c r="A35" s="1">
        <f>IF(C35="","",COUNTA(C$4:C35))</f>
        <v>32</v>
      </c>
      <c r="B35" s="1" t="s">
        <v>63</v>
      </c>
      <c r="C35" s="1" t="s">
        <v>64</v>
      </c>
      <c r="E35">
        <f t="shared" si="0"/>
        <v>0</v>
      </c>
    </row>
    <row r="36" spans="1:5">
      <c r="A36" s="1">
        <f>IF(C36="","",COUNTA(C$4:C36))</f>
        <v>33</v>
      </c>
      <c r="B36" s="1" t="s">
        <v>65</v>
      </c>
      <c r="C36" s="1" t="s">
        <v>66</v>
      </c>
      <c r="E36">
        <f t="shared" si="0"/>
        <v>0</v>
      </c>
    </row>
    <row r="37" spans="1:5">
      <c r="A37" s="1">
        <f>IF(C37="","",COUNTA(C$4:C37))</f>
        <v>34</v>
      </c>
      <c r="B37" s="1" t="s">
        <v>67</v>
      </c>
      <c r="C37" s="1" t="s">
        <v>68</v>
      </c>
      <c r="E37">
        <f t="shared" si="0"/>
        <v>0</v>
      </c>
    </row>
    <row r="38" spans="1:5">
      <c r="A38" s="1">
        <f>IF(C38="","",COUNTA(C$4:C38))</f>
        <v>35</v>
      </c>
      <c r="B38" s="1" t="s">
        <v>69</v>
      </c>
      <c r="C38" s="1" t="s">
        <v>70</v>
      </c>
      <c r="E38">
        <f t="shared" si="0"/>
        <v>0</v>
      </c>
    </row>
    <row r="39" spans="1:5">
      <c r="A39" s="1">
        <f>IF(C39="","",COUNTA(C$4:C39))</f>
        <v>36</v>
      </c>
      <c r="B39" s="1" t="s">
        <v>71</v>
      </c>
      <c r="C39" s="1" t="s">
        <v>72</v>
      </c>
      <c r="E39">
        <f t="shared" si="0"/>
        <v>0</v>
      </c>
    </row>
    <row r="40" spans="1:5">
      <c r="A40" s="1">
        <f>IF(C40="","",COUNTA(C$4:C40))</f>
        <v>37</v>
      </c>
      <c r="B40" s="1" t="s">
        <v>73</v>
      </c>
      <c r="C40" s="1" t="s">
        <v>74</v>
      </c>
      <c r="E40">
        <f t="shared" si="0"/>
        <v>0</v>
      </c>
    </row>
    <row r="41" spans="1:5">
      <c r="A41" s="1">
        <f>IF(C41="","",COUNTA(C$4:C41))</f>
        <v>38</v>
      </c>
      <c r="B41" s="1" t="s">
        <v>75</v>
      </c>
      <c r="C41" s="1" t="s">
        <v>76</v>
      </c>
      <c r="E41">
        <f t="shared" si="0"/>
        <v>0</v>
      </c>
    </row>
    <row r="42" spans="1:5">
      <c r="A42" s="1">
        <f>IF(C42="","",COUNTA(C$4:C42))</f>
        <v>39</v>
      </c>
      <c r="B42" s="1" t="s">
        <v>77</v>
      </c>
      <c r="C42" s="1" t="s">
        <v>78</v>
      </c>
      <c r="E42">
        <f t="shared" si="0"/>
        <v>0</v>
      </c>
    </row>
    <row r="43" spans="1:5">
      <c r="A43" s="1">
        <f>IF(C43="","",COUNTA(C$4:C43))</f>
        <v>40</v>
      </c>
      <c r="B43" s="1" t="s">
        <v>79</v>
      </c>
      <c r="C43" s="1" t="s">
        <v>80</v>
      </c>
      <c r="E43">
        <f t="shared" si="0"/>
        <v>0</v>
      </c>
    </row>
    <row r="44" spans="1:5">
      <c r="A44" s="1">
        <f>IF(C44="","",COUNTA(C$4:C44))</f>
        <v>41</v>
      </c>
      <c r="B44" s="1" t="s">
        <v>81</v>
      </c>
      <c r="C44" s="1" t="s">
        <v>82</v>
      </c>
      <c r="E44">
        <f t="shared" si="0"/>
        <v>0</v>
      </c>
    </row>
    <row r="45" spans="1:5">
      <c r="A45" s="1">
        <f>IF(C45="","",COUNTA(C$4:C45))</f>
        <v>42</v>
      </c>
      <c r="B45" s="1" t="s">
        <v>83</v>
      </c>
      <c r="C45" s="1" t="s">
        <v>84</v>
      </c>
      <c r="E45">
        <f t="shared" si="0"/>
        <v>0</v>
      </c>
    </row>
    <row r="46" spans="1:5">
      <c r="A46" s="1">
        <f>IF(C46="","",COUNTA(C$4:C46))</f>
        <v>43</v>
      </c>
      <c r="B46" s="1" t="s">
        <v>85</v>
      </c>
      <c r="C46" s="1" t="s">
        <v>86</v>
      </c>
      <c r="E46">
        <f t="shared" si="0"/>
        <v>0</v>
      </c>
    </row>
    <row r="47" spans="1:5">
      <c r="A47" s="1">
        <f>IF(C47="","",COUNTA(C$4:C47))</f>
        <v>44</v>
      </c>
      <c r="B47" s="1" t="s">
        <v>87</v>
      </c>
      <c r="C47" s="1" t="s">
        <v>88</v>
      </c>
      <c r="E47">
        <f t="shared" si="0"/>
        <v>0</v>
      </c>
    </row>
    <row r="48" spans="1:5">
      <c r="A48" s="1">
        <f>IF(C48="","",COUNTA(C$4:C48))</f>
        <v>45</v>
      </c>
      <c r="B48" s="1" t="s">
        <v>89</v>
      </c>
      <c r="C48" s="1" t="s">
        <v>90</v>
      </c>
      <c r="E48">
        <f t="shared" si="0"/>
        <v>0</v>
      </c>
    </row>
    <row r="49" spans="1:5">
      <c r="A49" s="1">
        <f>IF(C49="","",COUNTA(C$4:C49))</f>
        <v>46</v>
      </c>
      <c r="B49" s="1" t="s">
        <v>91</v>
      </c>
      <c r="C49" s="1" t="s">
        <v>92</v>
      </c>
      <c r="E49">
        <f t="shared" si="0"/>
        <v>0</v>
      </c>
    </row>
    <row r="50" spans="1:5">
      <c r="A50" s="1">
        <f>IF(C50="","",COUNTA(C$4:C50))</f>
        <v>47</v>
      </c>
      <c r="B50" s="1" t="s">
        <v>93</v>
      </c>
      <c r="C50" s="1" t="s">
        <v>94</v>
      </c>
      <c r="E50">
        <f t="shared" si="0"/>
        <v>0</v>
      </c>
    </row>
    <row r="51" spans="1:5">
      <c r="A51" s="1">
        <f>IF(C51="","",COUNTA(C$4:C51))</f>
        <v>48</v>
      </c>
      <c r="B51" s="1" t="s">
        <v>95</v>
      </c>
      <c r="C51" s="1" t="s">
        <v>96</v>
      </c>
      <c r="E51">
        <f t="shared" si="0"/>
        <v>0</v>
      </c>
    </row>
    <row r="52" spans="1:5">
      <c r="A52" s="1">
        <f>IF(C52="","",COUNTA(C$4:C52))</f>
        <v>49</v>
      </c>
      <c r="B52" s="1" t="s">
        <v>97</v>
      </c>
      <c r="C52" s="1" t="s">
        <v>98</v>
      </c>
      <c r="E52">
        <f t="shared" si="0"/>
        <v>0</v>
      </c>
    </row>
    <row r="53" spans="1:5">
      <c r="A53" s="1">
        <f>IF(C53="","",COUNTA(C$4:C53))</f>
        <v>50</v>
      </c>
      <c r="B53" s="1" t="s">
        <v>99</v>
      </c>
      <c r="C53" s="1" t="s">
        <v>100</v>
      </c>
      <c r="E53">
        <f t="shared" si="0"/>
        <v>0</v>
      </c>
    </row>
    <row r="54" spans="1:5">
      <c r="A54" s="1">
        <f>IF(C54="","",COUNTA(C$4:C54))</f>
        <v>51</v>
      </c>
      <c r="B54" s="1" t="s">
        <v>101</v>
      </c>
      <c r="C54" s="1" t="s">
        <v>102</v>
      </c>
      <c r="E54">
        <f t="shared" si="0"/>
        <v>0</v>
      </c>
    </row>
    <row r="55" spans="1:5">
      <c r="A55" s="1">
        <f>IF(C55="","",COUNTA(C$4:C55))</f>
        <v>52</v>
      </c>
      <c r="B55" s="1" t="s">
        <v>103</v>
      </c>
      <c r="C55" s="1" t="s">
        <v>104</v>
      </c>
      <c r="E55">
        <f t="shared" si="0"/>
        <v>0</v>
      </c>
    </row>
    <row r="56" spans="1:5">
      <c r="A56" s="1">
        <f>IF(C56="","",COUNTA(C$4:C56))</f>
        <v>53</v>
      </c>
      <c r="B56" s="1" t="s">
        <v>105</v>
      </c>
      <c r="C56" s="1" t="s">
        <v>106</v>
      </c>
      <c r="E56">
        <f t="shared" si="0"/>
        <v>0</v>
      </c>
    </row>
    <row r="57" spans="1:5">
      <c r="A57" s="1">
        <f>IF(C57="","",COUNTA(C$4:C57))</f>
        <v>54</v>
      </c>
      <c r="B57" s="1" t="s">
        <v>107</v>
      </c>
      <c r="C57" s="1" t="s">
        <v>108</v>
      </c>
      <c r="E57">
        <f t="shared" si="0"/>
        <v>0</v>
      </c>
    </row>
    <row r="58" spans="1:5">
      <c r="A58" s="1">
        <f>IF(C58="","",COUNTA(C$4:C58))</f>
        <v>55</v>
      </c>
      <c r="B58" s="1" t="s">
        <v>109</v>
      </c>
      <c r="C58" s="1" t="s">
        <v>110</v>
      </c>
      <c r="E58">
        <f t="shared" si="0"/>
        <v>0</v>
      </c>
    </row>
    <row r="59" spans="1:5">
      <c r="A59" s="1">
        <f>IF(C59="","",COUNTA(C$4:C59))</f>
        <v>56</v>
      </c>
      <c r="B59" s="1" t="s">
        <v>111</v>
      </c>
      <c r="C59" s="1" t="s">
        <v>112</v>
      </c>
      <c r="E59">
        <f t="shared" si="0"/>
        <v>0</v>
      </c>
    </row>
    <row r="60" spans="1:5">
      <c r="A60" s="1">
        <f>IF(C60="","",COUNTA(C$4:C60))</f>
        <v>57</v>
      </c>
      <c r="B60" s="1" t="s">
        <v>113</v>
      </c>
      <c r="C60" s="1" t="s">
        <v>114</v>
      </c>
      <c r="E60">
        <f t="shared" si="0"/>
        <v>0</v>
      </c>
    </row>
    <row r="61" spans="1:5">
      <c r="A61" s="1">
        <f>IF(C61="","",COUNTA(C$4:C61))</f>
        <v>58</v>
      </c>
      <c r="B61" s="1" t="s">
        <v>115</v>
      </c>
      <c r="C61" s="1" t="s">
        <v>116</v>
      </c>
      <c r="E61">
        <f t="shared" si="0"/>
        <v>0</v>
      </c>
    </row>
    <row r="62" spans="1:5">
      <c r="A62" s="1">
        <f>IF(C62="","",COUNTA(C$4:C62))</f>
        <v>59</v>
      </c>
      <c r="B62" s="1" t="s">
        <v>117</v>
      </c>
      <c r="C62" s="1" t="s">
        <v>118</v>
      </c>
      <c r="E62">
        <f t="shared" si="0"/>
        <v>0</v>
      </c>
    </row>
    <row r="63" spans="1:5">
      <c r="A63" s="1">
        <f>IF(C63="","",COUNTA(C$4:C63))</f>
        <v>60</v>
      </c>
      <c r="B63" s="1" t="s">
        <v>119</v>
      </c>
      <c r="C63" s="1" t="s">
        <v>120</v>
      </c>
      <c r="E63">
        <f t="shared" si="0"/>
        <v>0</v>
      </c>
    </row>
    <row r="64" spans="1:5">
      <c r="A64" s="1">
        <f>IF(C64="","",COUNTA(C$4:C64))</f>
        <v>61</v>
      </c>
      <c r="B64" s="1" t="s">
        <v>121</v>
      </c>
      <c r="C64" s="1" t="s">
        <v>122</v>
      </c>
      <c r="E64">
        <f t="shared" si="0"/>
        <v>0</v>
      </c>
    </row>
    <row r="65" spans="1:5">
      <c r="A65" s="1">
        <f>IF(C65="","",COUNTA(C$4:C65))</f>
        <v>62</v>
      </c>
      <c r="B65" s="1" t="s">
        <v>123</v>
      </c>
      <c r="C65" s="1" t="s">
        <v>124</v>
      </c>
      <c r="E65">
        <f t="shared" si="0"/>
        <v>0</v>
      </c>
    </row>
    <row r="66" spans="1:5">
      <c r="A66" s="1">
        <f>IF(C66="","",COUNTA(C$4:C66))</f>
        <v>63</v>
      </c>
      <c r="B66" s="1" t="s">
        <v>125</v>
      </c>
      <c r="C66" s="1" t="s">
        <v>126</v>
      </c>
      <c r="E66">
        <f t="shared" si="0"/>
        <v>0</v>
      </c>
    </row>
    <row r="67" spans="1:5">
      <c r="A67" s="1">
        <f>IF(C67="","",COUNTA(C$4:C67))</f>
        <v>64</v>
      </c>
      <c r="B67" s="1" t="s">
        <v>123</v>
      </c>
      <c r="C67" s="1" t="s">
        <v>127</v>
      </c>
      <c r="E67">
        <f t="shared" si="0"/>
        <v>0</v>
      </c>
    </row>
    <row r="68" spans="1:5">
      <c r="A68" s="1">
        <f>IF(C68="","",COUNTA(C$4:C68))</f>
        <v>65</v>
      </c>
      <c r="B68" s="1" t="s">
        <v>128</v>
      </c>
      <c r="C68" s="1" t="s">
        <v>129</v>
      </c>
      <c r="E68">
        <f t="shared" si="0"/>
        <v>0</v>
      </c>
    </row>
    <row r="69" spans="1:5">
      <c r="A69" s="1">
        <f>IF(C69="","",COUNTA(C$4:C69))</f>
        <v>66</v>
      </c>
      <c r="B69" s="1" t="s">
        <v>130</v>
      </c>
      <c r="C69" s="1" t="s">
        <v>131</v>
      </c>
      <c r="E69">
        <f t="shared" ref="E69:E132" si="1">IF(C69=D69,1,0)</f>
        <v>0</v>
      </c>
    </row>
    <row r="70" spans="1:5">
      <c r="A70" s="1">
        <f>IF(C70="","",COUNTA(C$4:C70))</f>
        <v>67</v>
      </c>
      <c r="B70" s="1" t="s">
        <v>132</v>
      </c>
      <c r="C70" s="1" t="s">
        <v>133</v>
      </c>
      <c r="E70">
        <f t="shared" si="1"/>
        <v>0</v>
      </c>
    </row>
    <row r="71" spans="1:5">
      <c r="A71" s="1">
        <f>IF(C71="","",COUNTA(C$4:C71))</f>
        <v>68</v>
      </c>
      <c r="B71" s="1" t="s">
        <v>134</v>
      </c>
      <c r="C71" s="1" t="s">
        <v>135</v>
      </c>
      <c r="E71">
        <f t="shared" si="1"/>
        <v>0</v>
      </c>
    </row>
    <row r="72" spans="1:5">
      <c r="A72" s="1">
        <f>IF(C72="","",COUNTA(C$4:C72))</f>
        <v>69</v>
      </c>
      <c r="B72" s="1" t="s">
        <v>136</v>
      </c>
      <c r="C72" s="1" t="s">
        <v>137</v>
      </c>
      <c r="E72">
        <f t="shared" si="1"/>
        <v>0</v>
      </c>
    </row>
    <row r="73" spans="1:5">
      <c r="A73" s="1">
        <f>IF(C73="","",COUNTA(C$4:C73))</f>
        <v>70</v>
      </c>
      <c r="B73" s="1" t="s">
        <v>132</v>
      </c>
      <c r="C73" s="1" t="s">
        <v>138</v>
      </c>
      <c r="E73">
        <f t="shared" si="1"/>
        <v>0</v>
      </c>
    </row>
    <row r="74" spans="1:5">
      <c r="A74" s="1">
        <f>IF(C74="","",COUNTA(C$4:C74))</f>
        <v>71</v>
      </c>
      <c r="B74" s="1" t="s">
        <v>139</v>
      </c>
      <c r="C74" s="1" t="s">
        <v>140</v>
      </c>
      <c r="E74">
        <f t="shared" si="1"/>
        <v>0</v>
      </c>
    </row>
    <row r="75" spans="1:5">
      <c r="A75" s="1">
        <f>IF(C75="","",COUNTA(C$4:C75))</f>
        <v>72</v>
      </c>
      <c r="B75" s="1" t="s">
        <v>141</v>
      </c>
      <c r="C75" s="1" t="s">
        <v>142</v>
      </c>
      <c r="E75">
        <f t="shared" si="1"/>
        <v>0</v>
      </c>
    </row>
    <row r="76" spans="1:5">
      <c r="A76" s="1">
        <f>IF(C76="","",COUNTA(C$4:C76))</f>
        <v>73</v>
      </c>
      <c r="B76" s="1" t="s">
        <v>141</v>
      </c>
      <c r="C76" s="1" t="s">
        <v>143</v>
      </c>
      <c r="E76">
        <f t="shared" si="1"/>
        <v>0</v>
      </c>
    </row>
    <row r="77" spans="1:5">
      <c r="A77" s="1">
        <f>IF(C77="","",COUNTA(C$4:C77))</f>
        <v>74</v>
      </c>
      <c r="B77" s="1" t="s">
        <v>144</v>
      </c>
      <c r="C77" s="1" t="s">
        <v>145</v>
      </c>
      <c r="E77">
        <f t="shared" si="1"/>
        <v>0</v>
      </c>
    </row>
    <row r="78" spans="1:5">
      <c r="A78" s="1">
        <f>IF(C78="","",COUNTA(C$4:C78))</f>
        <v>75</v>
      </c>
      <c r="B78" s="1" t="s">
        <v>146</v>
      </c>
      <c r="C78" s="1" t="s">
        <v>147</v>
      </c>
      <c r="E78">
        <f t="shared" si="1"/>
        <v>0</v>
      </c>
    </row>
    <row r="79" spans="1:5">
      <c r="A79" s="1">
        <f>IF(C79="","",COUNTA(C$4:C79))</f>
        <v>76</v>
      </c>
      <c r="B79" s="1" t="s">
        <v>148</v>
      </c>
      <c r="C79" s="1" t="s">
        <v>149</v>
      </c>
      <c r="E79">
        <f t="shared" si="1"/>
        <v>0</v>
      </c>
    </row>
    <row r="80" spans="1:5">
      <c r="A80" s="1">
        <f>IF(C80="","",COUNTA(C$4:C80))</f>
        <v>77</v>
      </c>
      <c r="B80" s="1" t="s">
        <v>150</v>
      </c>
      <c r="C80" s="1" t="s">
        <v>151</v>
      </c>
      <c r="E80">
        <f t="shared" si="1"/>
        <v>0</v>
      </c>
    </row>
    <row r="81" spans="1:5">
      <c r="A81" s="1">
        <f>IF(C81="","",COUNTA(C$4:C81))</f>
        <v>78</v>
      </c>
      <c r="B81" s="1" t="s">
        <v>152</v>
      </c>
      <c r="C81" s="1" t="s">
        <v>153</v>
      </c>
      <c r="E81">
        <f t="shared" si="1"/>
        <v>0</v>
      </c>
    </row>
    <row r="82" spans="1:5">
      <c r="A82" s="1">
        <f>IF(C82="","",COUNTA(C$4:C82))</f>
        <v>79</v>
      </c>
      <c r="B82" s="1" t="s">
        <v>154</v>
      </c>
      <c r="C82" s="1" t="s">
        <v>155</v>
      </c>
      <c r="E82">
        <f t="shared" si="1"/>
        <v>0</v>
      </c>
    </row>
    <row r="83" spans="1:5">
      <c r="A83" s="1">
        <f>IF(C83="","",COUNTA(C$4:C83))</f>
        <v>80</v>
      </c>
      <c r="B83" s="1" t="s">
        <v>156</v>
      </c>
      <c r="C83" s="1" t="s">
        <v>157</v>
      </c>
      <c r="E83">
        <f t="shared" si="1"/>
        <v>0</v>
      </c>
    </row>
    <row r="84" spans="1:5">
      <c r="A84" s="1">
        <f>IF(C84="","",COUNTA(C$4:C84))</f>
        <v>81</v>
      </c>
      <c r="B84" s="1" t="s">
        <v>158</v>
      </c>
      <c r="C84" s="1" t="s">
        <v>159</v>
      </c>
      <c r="E84">
        <f t="shared" si="1"/>
        <v>0</v>
      </c>
    </row>
    <row r="85" spans="1:5">
      <c r="A85" s="1">
        <f>IF(C85="","",COUNTA(C$4:C85))</f>
        <v>82</v>
      </c>
      <c r="B85" s="1" t="s">
        <v>160</v>
      </c>
      <c r="C85" s="1" t="s">
        <v>161</v>
      </c>
      <c r="E85">
        <f t="shared" si="1"/>
        <v>0</v>
      </c>
    </row>
    <row r="86" spans="1:5">
      <c r="A86" s="1">
        <f>IF(C86="","",COUNTA(C$4:C86))</f>
        <v>83</v>
      </c>
      <c r="B86" s="1" t="s">
        <v>162</v>
      </c>
      <c r="C86" s="1" t="s">
        <v>163</v>
      </c>
      <c r="E86">
        <f t="shared" si="1"/>
        <v>0</v>
      </c>
    </row>
    <row r="87" spans="1:5">
      <c r="A87" s="1">
        <f>IF(C87="","",COUNTA(C$4:C87))</f>
        <v>84</v>
      </c>
      <c r="B87" s="1" t="s">
        <v>164</v>
      </c>
      <c r="C87" s="1" t="s">
        <v>165</v>
      </c>
      <c r="E87">
        <f t="shared" si="1"/>
        <v>0</v>
      </c>
    </row>
    <row r="88" spans="1:5">
      <c r="A88" s="1">
        <f>IF(C88="","",COUNTA(C$4:C88))</f>
        <v>85</v>
      </c>
      <c r="B88" s="1" t="s">
        <v>166</v>
      </c>
      <c r="C88" s="1" t="s">
        <v>167</v>
      </c>
      <c r="E88">
        <f t="shared" si="1"/>
        <v>0</v>
      </c>
    </row>
    <row r="89" spans="1:5">
      <c r="A89" s="1">
        <f>IF(C89="","",COUNTA(C$4:C89))</f>
        <v>86</v>
      </c>
      <c r="B89" s="1" t="s">
        <v>168</v>
      </c>
      <c r="C89" s="1" t="s">
        <v>169</v>
      </c>
      <c r="E89">
        <f t="shared" si="1"/>
        <v>0</v>
      </c>
    </row>
    <row r="90" spans="1:5">
      <c r="A90" s="1">
        <f>IF(C90="","",COUNTA(C$4:C90))</f>
        <v>87</v>
      </c>
      <c r="B90" s="1" t="s">
        <v>170</v>
      </c>
      <c r="C90" s="1" t="s">
        <v>171</v>
      </c>
      <c r="E90">
        <f t="shared" si="1"/>
        <v>0</v>
      </c>
    </row>
    <row r="91" spans="1:5">
      <c r="A91" s="1">
        <f>IF(C91="","",COUNTA(C$4:C91))</f>
        <v>88</v>
      </c>
      <c r="B91" s="1" t="s">
        <v>172</v>
      </c>
      <c r="C91" s="1" t="s">
        <v>173</v>
      </c>
      <c r="E91">
        <f t="shared" si="1"/>
        <v>0</v>
      </c>
    </row>
    <row r="92" spans="1:5">
      <c r="A92" s="1">
        <f>IF(C92="","",COUNTA(C$4:C92))</f>
        <v>89</v>
      </c>
      <c r="B92" s="1" t="s">
        <v>174</v>
      </c>
      <c r="C92" s="1" t="s">
        <v>175</v>
      </c>
      <c r="E92">
        <f t="shared" si="1"/>
        <v>0</v>
      </c>
    </row>
    <row r="93" spans="1:5">
      <c r="A93" s="1">
        <f>IF(C93="","",COUNTA(C$4:C93))</f>
        <v>90</v>
      </c>
      <c r="B93" s="1" t="s">
        <v>176</v>
      </c>
      <c r="C93" s="1" t="s">
        <v>177</v>
      </c>
      <c r="E93">
        <f t="shared" si="1"/>
        <v>0</v>
      </c>
    </row>
    <row r="94" spans="1:5">
      <c r="A94" s="1">
        <f>IF(C94="","",COUNTA(C$4:C94))</f>
        <v>91</v>
      </c>
      <c r="B94" s="1" t="s">
        <v>178</v>
      </c>
      <c r="C94" s="1" t="s">
        <v>179</v>
      </c>
      <c r="E94">
        <f t="shared" si="1"/>
        <v>0</v>
      </c>
    </row>
    <row r="95" spans="1:5">
      <c r="A95" s="1">
        <f>IF(C95="","",COUNTA(C$4:C95))</f>
        <v>92</v>
      </c>
      <c r="B95" s="1" t="s">
        <v>180</v>
      </c>
      <c r="C95" s="1" t="s">
        <v>181</v>
      </c>
      <c r="E95">
        <f t="shared" si="1"/>
        <v>0</v>
      </c>
    </row>
    <row r="96" spans="1:5">
      <c r="A96" s="1">
        <f>IF(C96="","",COUNTA(C$4:C96))</f>
        <v>93</v>
      </c>
      <c r="B96" s="1" t="s">
        <v>182</v>
      </c>
      <c r="C96" s="1" t="s">
        <v>183</v>
      </c>
      <c r="E96">
        <f t="shared" si="1"/>
        <v>0</v>
      </c>
    </row>
    <row r="97" spans="1:5">
      <c r="A97" s="1">
        <f>IF(C97="","",COUNTA(C$4:C97))</f>
        <v>94</v>
      </c>
      <c r="B97" s="1" t="s">
        <v>184</v>
      </c>
      <c r="C97" s="1" t="s">
        <v>185</v>
      </c>
      <c r="E97">
        <f t="shared" si="1"/>
        <v>0</v>
      </c>
    </row>
    <row r="98" spans="1:5">
      <c r="A98" s="1">
        <f>IF(C98="","",COUNTA(C$4:C98))</f>
        <v>95</v>
      </c>
      <c r="B98" s="1" t="s">
        <v>186</v>
      </c>
      <c r="C98" s="1" t="s">
        <v>187</v>
      </c>
      <c r="E98">
        <f t="shared" si="1"/>
        <v>0</v>
      </c>
    </row>
    <row r="99" spans="1:5">
      <c r="A99" s="1">
        <f>IF(C99="","",COUNTA(C$4:C99))</f>
        <v>96</v>
      </c>
      <c r="B99" s="1" t="s">
        <v>188</v>
      </c>
      <c r="C99" s="1" t="s">
        <v>189</v>
      </c>
      <c r="E99">
        <f t="shared" si="1"/>
        <v>0</v>
      </c>
    </row>
    <row r="100" spans="1:5">
      <c r="A100" s="1">
        <f>IF(C100="","",COUNTA(C$4:C100))</f>
        <v>97</v>
      </c>
      <c r="B100" s="1" t="s">
        <v>190</v>
      </c>
      <c r="C100" s="1" t="s">
        <v>191</v>
      </c>
      <c r="E100">
        <f t="shared" si="1"/>
        <v>0</v>
      </c>
    </row>
    <row r="101" spans="1:5">
      <c r="A101" s="1">
        <f>IF(C101="","",COUNTA(C$4:C101))</f>
        <v>98</v>
      </c>
      <c r="B101" s="1" t="s">
        <v>192</v>
      </c>
      <c r="C101" s="1" t="s">
        <v>193</v>
      </c>
      <c r="E101">
        <f t="shared" si="1"/>
        <v>0</v>
      </c>
    </row>
    <row r="102" spans="1:5">
      <c r="A102" s="1">
        <f>IF(C102="","",COUNTA(C$4:C102))</f>
        <v>99</v>
      </c>
      <c r="B102" s="1" t="s">
        <v>194</v>
      </c>
      <c r="C102" s="1" t="s">
        <v>195</v>
      </c>
      <c r="E102">
        <f t="shared" si="1"/>
        <v>0</v>
      </c>
    </row>
    <row r="103" spans="1:5">
      <c r="A103" s="1">
        <f>IF(C103="","",COUNTA(C$4:C103))</f>
        <v>100</v>
      </c>
      <c r="B103" s="1" t="s">
        <v>196</v>
      </c>
      <c r="C103" s="1" t="s">
        <v>197</v>
      </c>
      <c r="E103">
        <f t="shared" si="1"/>
        <v>0</v>
      </c>
    </row>
    <row r="104" spans="1:5">
      <c r="A104" s="1">
        <f>IF(C104="","",COUNTA(C$4:C104))</f>
        <v>101</v>
      </c>
      <c r="B104" s="1" t="s">
        <v>198</v>
      </c>
      <c r="C104" s="1" t="s">
        <v>199</v>
      </c>
      <c r="E104">
        <f t="shared" si="1"/>
        <v>0</v>
      </c>
    </row>
    <row r="105" spans="1:5">
      <c r="A105" s="1">
        <f>IF(C105="","",COUNTA(C$4:C105))</f>
        <v>102</v>
      </c>
      <c r="B105" s="1" t="s">
        <v>200</v>
      </c>
      <c r="C105" s="1" t="s">
        <v>201</v>
      </c>
      <c r="E105">
        <f t="shared" si="1"/>
        <v>0</v>
      </c>
    </row>
    <row r="106" spans="1:5">
      <c r="A106" s="1">
        <f>IF(C106="","",COUNTA(C$4:C106))</f>
        <v>103</v>
      </c>
      <c r="B106" s="1" t="s">
        <v>202</v>
      </c>
      <c r="C106" s="1" t="s">
        <v>203</v>
      </c>
      <c r="E106">
        <f t="shared" si="1"/>
        <v>0</v>
      </c>
    </row>
    <row r="107" spans="1:5">
      <c r="A107" s="1">
        <f>IF(C107="","",COUNTA(C$4:C107))</f>
        <v>104</v>
      </c>
      <c r="B107" s="1" t="s">
        <v>204</v>
      </c>
      <c r="C107" s="1" t="s">
        <v>205</v>
      </c>
      <c r="E107">
        <f t="shared" si="1"/>
        <v>0</v>
      </c>
    </row>
    <row r="108" spans="1:5">
      <c r="A108" s="1">
        <f>IF(C108="","",COUNTA(C$4:C108))</f>
        <v>105</v>
      </c>
      <c r="B108" s="1" t="s">
        <v>206</v>
      </c>
      <c r="C108" s="1" t="s">
        <v>207</v>
      </c>
      <c r="E108">
        <f t="shared" si="1"/>
        <v>0</v>
      </c>
    </row>
    <row r="109" spans="1:5">
      <c r="A109" s="1">
        <f>IF(C109="","",COUNTA(C$4:C109))</f>
        <v>106</v>
      </c>
      <c r="B109" s="1" t="s">
        <v>208</v>
      </c>
      <c r="C109" s="1" t="s">
        <v>209</v>
      </c>
      <c r="E109">
        <f t="shared" si="1"/>
        <v>0</v>
      </c>
    </row>
    <row r="110" spans="1:5">
      <c r="A110" s="1">
        <f>IF(C110="","",COUNTA(C$4:C110))</f>
        <v>107</v>
      </c>
      <c r="B110" s="1" t="s">
        <v>210</v>
      </c>
      <c r="C110" s="1" t="s">
        <v>211</v>
      </c>
      <c r="E110">
        <f t="shared" si="1"/>
        <v>0</v>
      </c>
    </row>
    <row r="111" spans="1:5">
      <c r="A111" s="1">
        <f>IF(C111="","",COUNTA(C$4:C111))</f>
        <v>108</v>
      </c>
      <c r="B111" s="1" t="s">
        <v>212</v>
      </c>
      <c r="C111" s="3" t="s">
        <v>213</v>
      </c>
      <c r="E111">
        <f t="shared" si="1"/>
        <v>0</v>
      </c>
    </row>
    <row r="112" spans="1:5">
      <c r="A112" s="1">
        <f>IF(C112="","",COUNTA(C$4:C112))</f>
        <v>109</v>
      </c>
      <c r="B112" s="1" t="s">
        <v>214</v>
      </c>
      <c r="C112" s="1" t="s">
        <v>215</v>
      </c>
      <c r="E112">
        <f t="shared" si="1"/>
        <v>0</v>
      </c>
    </row>
    <row r="113" spans="1:5">
      <c r="A113" s="1">
        <f>IF(C113="","",COUNTA(C$4:C113))</f>
        <v>110</v>
      </c>
      <c r="B113" s="1" t="s">
        <v>216</v>
      </c>
      <c r="C113" s="1" t="s">
        <v>217</v>
      </c>
      <c r="E113">
        <f t="shared" si="1"/>
        <v>0</v>
      </c>
    </row>
    <row r="114" spans="1:5">
      <c r="A114" s="1">
        <f>IF(C114="","",COUNTA(C$4:C114))</f>
        <v>111</v>
      </c>
      <c r="B114" s="1" t="s">
        <v>218</v>
      </c>
      <c r="C114" s="1" t="s">
        <v>219</v>
      </c>
      <c r="E114">
        <f t="shared" si="1"/>
        <v>0</v>
      </c>
    </row>
    <row r="115" spans="1:5">
      <c r="A115" s="1">
        <f>IF(C115="","",COUNTA(C$4:C115))</f>
        <v>112</v>
      </c>
      <c r="B115" s="1" t="s">
        <v>220</v>
      </c>
      <c r="C115" s="1" t="s">
        <v>221</v>
      </c>
      <c r="E115">
        <f t="shared" si="1"/>
        <v>0</v>
      </c>
    </row>
    <row r="116" spans="1:5">
      <c r="A116" s="12" t="s">
        <v>222</v>
      </c>
      <c r="B116" s="13"/>
      <c r="C116" s="14"/>
      <c r="D116" s="9"/>
    </row>
    <row r="117" spans="1:5">
      <c r="A117" s="1">
        <f>IF(C117="","",COUNTA(C$4:C117))</f>
        <v>113</v>
      </c>
      <c r="B117" s="1" t="s">
        <v>223</v>
      </c>
      <c r="C117" s="1" t="s">
        <v>224</v>
      </c>
      <c r="E117">
        <f>IF(C117=D116,1,0)</f>
        <v>0</v>
      </c>
    </row>
    <row r="118" spans="1:5">
      <c r="A118" s="1">
        <f>IF(C118="","",COUNTA(C$4:C118))</f>
        <v>114</v>
      </c>
      <c r="B118" s="1" t="s">
        <v>225</v>
      </c>
      <c r="C118" s="1" t="s">
        <v>226</v>
      </c>
      <c r="E118">
        <f t="shared" si="1"/>
        <v>0</v>
      </c>
    </row>
    <row r="119" spans="1:5">
      <c r="A119" s="1">
        <f>IF(C119="","",COUNTA(C$4:C119))</f>
        <v>115</v>
      </c>
      <c r="B119" s="1" t="s">
        <v>227</v>
      </c>
      <c r="C119" s="1" t="s">
        <v>228</v>
      </c>
      <c r="E119">
        <f t="shared" si="1"/>
        <v>0</v>
      </c>
    </row>
    <row r="120" spans="1:5">
      <c r="A120" s="1">
        <f>IF(C120="","",COUNTA(C$4:C120))</f>
        <v>116</v>
      </c>
      <c r="B120" s="1" t="s">
        <v>229</v>
      </c>
      <c r="C120" s="1" t="s">
        <v>230</v>
      </c>
      <c r="E120">
        <f t="shared" si="1"/>
        <v>0</v>
      </c>
    </row>
    <row r="121" spans="1:5">
      <c r="A121" s="1">
        <f>IF(C121="","",COUNTA(C$4:C121))</f>
        <v>117</v>
      </c>
      <c r="B121" s="1" t="s">
        <v>231</v>
      </c>
      <c r="C121" s="1" t="s">
        <v>232</v>
      </c>
      <c r="E121">
        <f t="shared" si="1"/>
        <v>0</v>
      </c>
    </row>
    <row r="122" spans="1:5">
      <c r="A122" s="1">
        <f>IF(C122="","",COUNTA(C$4:C122))</f>
        <v>118</v>
      </c>
      <c r="B122" s="1" t="s">
        <v>233</v>
      </c>
      <c r="C122" s="1" t="s">
        <v>234</v>
      </c>
      <c r="E122">
        <f t="shared" si="1"/>
        <v>0</v>
      </c>
    </row>
    <row r="123" spans="1:5">
      <c r="A123" s="1">
        <f>IF(C123="","",COUNTA(C$4:C123))</f>
        <v>119</v>
      </c>
      <c r="B123" s="1" t="s">
        <v>235</v>
      </c>
      <c r="C123" s="1" t="s">
        <v>236</v>
      </c>
      <c r="E123">
        <f t="shared" si="1"/>
        <v>0</v>
      </c>
    </row>
    <row r="124" spans="1:5">
      <c r="A124" s="1">
        <f>IF(C124="","",COUNTA(C$4:C124))</f>
        <v>120</v>
      </c>
      <c r="B124" s="1" t="s">
        <v>237</v>
      </c>
      <c r="C124" s="1" t="s">
        <v>238</v>
      </c>
      <c r="E124">
        <f t="shared" si="1"/>
        <v>0</v>
      </c>
    </row>
    <row r="125" spans="1:5">
      <c r="A125" s="1">
        <f>IF(C125="","",COUNTA(C$4:C125))</f>
        <v>121</v>
      </c>
      <c r="B125" s="1" t="s">
        <v>239</v>
      </c>
      <c r="C125" s="1" t="s">
        <v>240</v>
      </c>
      <c r="E125">
        <f t="shared" si="1"/>
        <v>0</v>
      </c>
    </row>
    <row r="126" spans="1:5">
      <c r="A126" s="1">
        <f>IF(C126="","",COUNTA(C$4:C126))</f>
        <v>122</v>
      </c>
      <c r="B126" s="1" t="s">
        <v>241</v>
      </c>
      <c r="C126" s="1" t="s">
        <v>242</v>
      </c>
      <c r="E126">
        <f t="shared" si="1"/>
        <v>0</v>
      </c>
    </row>
    <row r="127" spans="1:5">
      <c r="A127" s="1">
        <f>IF(C127="","",COUNTA(C$4:C127))</f>
        <v>123</v>
      </c>
      <c r="B127" s="1" t="s">
        <v>243</v>
      </c>
      <c r="C127" s="1" t="s">
        <v>244</v>
      </c>
      <c r="E127">
        <f t="shared" si="1"/>
        <v>0</v>
      </c>
    </row>
    <row r="128" spans="1:5">
      <c r="A128" s="1">
        <f>IF(C128="","",COUNTA(C$4:C128))</f>
        <v>124</v>
      </c>
      <c r="B128" s="1" t="s">
        <v>245</v>
      </c>
      <c r="C128" s="1" t="s">
        <v>246</v>
      </c>
      <c r="E128">
        <f t="shared" si="1"/>
        <v>0</v>
      </c>
    </row>
    <row r="129" spans="1:5">
      <c r="A129" s="1">
        <f>IF(C129="","",COUNTA(C$4:C129))</f>
        <v>125</v>
      </c>
      <c r="B129" s="1" t="s">
        <v>247</v>
      </c>
      <c r="C129" s="1" t="s">
        <v>248</v>
      </c>
      <c r="E129">
        <f t="shared" si="1"/>
        <v>0</v>
      </c>
    </row>
    <row r="130" spans="1:5">
      <c r="A130" s="1">
        <f>IF(C130="","",COUNTA(C$4:C130))</f>
        <v>126</v>
      </c>
      <c r="B130" s="1" t="s">
        <v>249</v>
      </c>
      <c r="C130" s="1" t="s">
        <v>250</v>
      </c>
      <c r="E130">
        <f t="shared" si="1"/>
        <v>0</v>
      </c>
    </row>
    <row r="131" spans="1:5">
      <c r="A131" s="1">
        <f>IF(C131="","",COUNTA(C$4:C131))</f>
        <v>127</v>
      </c>
      <c r="B131" s="1" t="s">
        <v>251</v>
      </c>
      <c r="C131" s="1" t="s">
        <v>252</v>
      </c>
      <c r="E131">
        <f t="shared" si="1"/>
        <v>0</v>
      </c>
    </row>
    <row r="132" spans="1:5">
      <c r="A132" s="1">
        <f>IF(C132="","",COUNTA(C$4:C132))</f>
        <v>128</v>
      </c>
      <c r="B132" s="1" t="s">
        <v>253</v>
      </c>
      <c r="C132" s="1" t="s">
        <v>254</v>
      </c>
      <c r="E132">
        <f t="shared" si="1"/>
        <v>0</v>
      </c>
    </row>
    <row r="133" spans="1:5">
      <c r="A133" s="1">
        <f>IF(C133="","",COUNTA(C$4:C133))</f>
        <v>129</v>
      </c>
      <c r="B133" s="1" t="s">
        <v>255</v>
      </c>
      <c r="C133" s="1" t="s">
        <v>256</v>
      </c>
      <c r="E133">
        <f t="shared" ref="E133:E196" si="2">IF(C133=D133,1,0)</f>
        <v>0</v>
      </c>
    </row>
    <row r="134" spans="1:5">
      <c r="A134" s="1">
        <f>IF(C134="","",COUNTA(C$4:C134))</f>
        <v>130</v>
      </c>
      <c r="B134" s="1" t="s">
        <v>257</v>
      </c>
      <c r="C134" s="1" t="s">
        <v>258</v>
      </c>
      <c r="E134">
        <f t="shared" si="2"/>
        <v>0</v>
      </c>
    </row>
    <row r="135" spans="1:5">
      <c r="A135" s="1">
        <f>IF(C135="","",COUNTA(C$4:C135))</f>
        <v>131</v>
      </c>
      <c r="B135" s="1" t="s">
        <v>259</v>
      </c>
      <c r="C135" s="1" t="s">
        <v>260</v>
      </c>
      <c r="E135">
        <f t="shared" si="2"/>
        <v>0</v>
      </c>
    </row>
    <row r="136" spans="1:5">
      <c r="A136" s="1">
        <f>IF(C136="","",COUNTA(C$4:C136))</f>
        <v>132</v>
      </c>
      <c r="B136" s="1" t="s">
        <v>261</v>
      </c>
      <c r="C136" s="1" t="s">
        <v>262</v>
      </c>
      <c r="E136">
        <f t="shared" si="2"/>
        <v>0</v>
      </c>
    </row>
    <row r="137" spans="1:5">
      <c r="A137" s="1">
        <f>IF(C137="","",COUNTA(C$4:C137))</f>
        <v>133</v>
      </c>
      <c r="B137" s="1" t="s">
        <v>263</v>
      </c>
      <c r="C137" s="1" t="s">
        <v>264</v>
      </c>
      <c r="E137">
        <f t="shared" si="2"/>
        <v>0</v>
      </c>
    </row>
    <row r="138" spans="1:5">
      <c r="A138" s="1">
        <f>IF(C138="","",COUNTA(C$4:C138))</f>
        <v>134</v>
      </c>
      <c r="B138" s="1" t="s">
        <v>265</v>
      </c>
      <c r="C138" s="1" t="s">
        <v>266</v>
      </c>
      <c r="E138">
        <f t="shared" si="2"/>
        <v>0</v>
      </c>
    </row>
    <row r="139" spans="1:5">
      <c r="A139" s="1">
        <f>IF(C139="","",COUNTA(C$4:C139))</f>
        <v>135</v>
      </c>
      <c r="B139" s="1" t="s">
        <v>267</v>
      </c>
      <c r="C139" s="1" t="s">
        <v>268</v>
      </c>
      <c r="E139">
        <f t="shared" si="2"/>
        <v>0</v>
      </c>
    </row>
    <row r="140" spans="1:5">
      <c r="A140" s="1">
        <f>IF(C140="","",COUNTA(C$4:C140))</f>
        <v>136</v>
      </c>
      <c r="B140" s="1" t="s">
        <v>269</v>
      </c>
      <c r="C140" s="1" t="s">
        <v>270</v>
      </c>
      <c r="E140">
        <f t="shared" si="2"/>
        <v>0</v>
      </c>
    </row>
    <row r="141" spans="1:5">
      <c r="A141" s="1">
        <f>IF(C141="","",COUNTA(C$4:C141))</f>
        <v>137</v>
      </c>
      <c r="B141" s="1" t="s">
        <v>271</v>
      </c>
      <c r="C141" s="1" t="s">
        <v>272</v>
      </c>
      <c r="E141">
        <f t="shared" si="2"/>
        <v>0</v>
      </c>
    </row>
    <row r="142" spans="1:5">
      <c r="A142" s="1">
        <f>IF(C142="","",COUNTA(C$4:C142))</f>
        <v>138</v>
      </c>
      <c r="B142" s="1" t="s">
        <v>273</v>
      </c>
      <c r="C142" s="1" t="s">
        <v>274</v>
      </c>
      <c r="E142">
        <f t="shared" si="2"/>
        <v>0</v>
      </c>
    </row>
    <row r="143" spans="1:5">
      <c r="A143" s="1">
        <f>IF(C143="","",COUNTA(C$4:C143))</f>
        <v>139</v>
      </c>
      <c r="B143" s="1" t="s">
        <v>275</v>
      </c>
      <c r="C143" s="1" t="s">
        <v>276</v>
      </c>
      <c r="E143">
        <f t="shared" si="2"/>
        <v>0</v>
      </c>
    </row>
    <row r="144" spans="1:5">
      <c r="A144" s="1">
        <f>IF(C144="","",COUNTA(C$4:C144))</f>
        <v>140</v>
      </c>
      <c r="B144" s="1" t="s">
        <v>277</v>
      </c>
      <c r="C144" s="1" t="s">
        <v>278</v>
      </c>
      <c r="E144">
        <f t="shared" si="2"/>
        <v>0</v>
      </c>
    </row>
    <row r="145" spans="1:5">
      <c r="A145" s="1">
        <f>IF(C145="","",COUNTA(C$4:C145))</f>
        <v>141</v>
      </c>
      <c r="B145" s="1" t="s">
        <v>279</v>
      </c>
      <c r="C145" s="1" t="s">
        <v>280</v>
      </c>
      <c r="E145">
        <f t="shared" si="2"/>
        <v>0</v>
      </c>
    </row>
    <row r="146" spans="1:5">
      <c r="A146" s="1">
        <f>IF(C146="","",COUNTA(C$4:C146))</f>
        <v>142</v>
      </c>
      <c r="B146" s="1" t="s">
        <v>281</v>
      </c>
      <c r="C146" s="1" t="s">
        <v>282</v>
      </c>
      <c r="E146">
        <f t="shared" si="2"/>
        <v>0</v>
      </c>
    </row>
    <row r="147" spans="1:5">
      <c r="A147" s="1">
        <f>IF(C147="","",COUNTA(C$4:C147))</f>
        <v>143</v>
      </c>
      <c r="B147" s="1" t="s">
        <v>283</v>
      </c>
      <c r="C147" s="1" t="s">
        <v>284</v>
      </c>
      <c r="E147">
        <f t="shared" si="2"/>
        <v>0</v>
      </c>
    </row>
    <row r="148" spans="1:5">
      <c r="A148" s="1">
        <f>IF(C148="","",COUNTA(C$4:C148))</f>
        <v>144</v>
      </c>
      <c r="B148" s="1" t="s">
        <v>285</v>
      </c>
      <c r="C148" s="1" t="s">
        <v>286</v>
      </c>
      <c r="E148">
        <f t="shared" si="2"/>
        <v>0</v>
      </c>
    </row>
    <row r="149" spans="1:5">
      <c r="A149" s="1">
        <f>IF(C149="","",COUNTA(C$4:C149))</f>
        <v>145</v>
      </c>
      <c r="B149" s="1" t="s">
        <v>287</v>
      </c>
      <c r="C149" s="1" t="s">
        <v>288</v>
      </c>
      <c r="E149">
        <f t="shared" si="2"/>
        <v>0</v>
      </c>
    </row>
    <row r="150" spans="1:5">
      <c r="A150" s="1">
        <f>IF(C150="","",COUNTA(C$4:C150))</f>
        <v>146</v>
      </c>
      <c r="B150" s="1" t="s">
        <v>289</v>
      </c>
      <c r="C150" s="1" t="s">
        <v>290</v>
      </c>
      <c r="E150">
        <f t="shared" si="2"/>
        <v>0</v>
      </c>
    </row>
    <row r="151" spans="1:5">
      <c r="A151" s="1">
        <f>IF(C151="","",COUNTA(C$4:C151))</f>
        <v>147</v>
      </c>
      <c r="B151" s="1" t="s">
        <v>291</v>
      </c>
      <c r="C151" s="1" t="s">
        <v>292</v>
      </c>
      <c r="E151">
        <f t="shared" si="2"/>
        <v>0</v>
      </c>
    </row>
    <row r="152" spans="1:5">
      <c r="A152" s="1">
        <f>IF(C152="","",COUNTA(C$4:C152))</f>
        <v>148</v>
      </c>
      <c r="B152" s="1" t="s">
        <v>293</v>
      </c>
      <c r="C152" s="1" t="s">
        <v>294</v>
      </c>
      <c r="E152">
        <f t="shared" si="2"/>
        <v>0</v>
      </c>
    </row>
    <row r="153" spans="1:5">
      <c r="A153" s="1">
        <f>IF(C153="","",COUNTA(C$4:C153))</f>
        <v>149</v>
      </c>
      <c r="B153" s="1" t="s">
        <v>295</v>
      </c>
      <c r="C153" s="1" t="s">
        <v>296</v>
      </c>
      <c r="E153">
        <f t="shared" si="2"/>
        <v>0</v>
      </c>
    </row>
    <row r="154" spans="1:5">
      <c r="A154" s="1">
        <f>IF(C154="","",COUNTA(C$4:C154))</f>
        <v>150</v>
      </c>
      <c r="B154" s="1" t="s">
        <v>297</v>
      </c>
      <c r="C154" s="1" t="s">
        <v>298</v>
      </c>
      <c r="E154">
        <f t="shared" si="2"/>
        <v>0</v>
      </c>
    </row>
    <row r="155" spans="1:5">
      <c r="A155" s="1">
        <f>IF(C155="","",COUNTA(C$4:C155))</f>
        <v>151</v>
      </c>
      <c r="B155" s="1" t="s">
        <v>299</v>
      </c>
      <c r="C155" s="1" t="s">
        <v>300</v>
      </c>
      <c r="E155">
        <f t="shared" si="2"/>
        <v>0</v>
      </c>
    </row>
    <row r="156" spans="1:5">
      <c r="A156" s="1">
        <f>IF(C156="","",COUNTA(C$4:C156))</f>
        <v>152</v>
      </c>
      <c r="B156" s="1" t="s">
        <v>301</v>
      </c>
      <c r="C156" s="1" t="s">
        <v>302</v>
      </c>
      <c r="E156">
        <f t="shared" si="2"/>
        <v>0</v>
      </c>
    </row>
    <row r="157" spans="1:5">
      <c r="A157" s="1">
        <f>IF(C157="","",COUNTA(C$4:C157))</f>
        <v>153</v>
      </c>
      <c r="B157" s="1" t="s">
        <v>303</v>
      </c>
      <c r="C157" s="1" t="s">
        <v>304</v>
      </c>
      <c r="E157">
        <f t="shared" si="2"/>
        <v>0</v>
      </c>
    </row>
    <row r="158" spans="1:5">
      <c r="A158" s="1">
        <f>IF(C158="","",COUNTA(C$4:C158))</f>
        <v>154</v>
      </c>
      <c r="B158" s="1" t="s">
        <v>305</v>
      </c>
      <c r="C158" s="1" t="s">
        <v>306</v>
      </c>
      <c r="E158">
        <f t="shared" si="2"/>
        <v>0</v>
      </c>
    </row>
    <row r="159" spans="1:5">
      <c r="A159" s="1">
        <f>IF(C159="","",COUNTA(C$4:C159))</f>
        <v>155</v>
      </c>
      <c r="B159" s="1" t="s">
        <v>307</v>
      </c>
      <c r="C159" s="1" t="s">
        <v>308</v>
      </c>
      <c r="E159">
        <f t="shared" si="2"/>
        <v>0</v>
      </c>
    </row>
    <row r="160" spans="1:5">
      <c r="A160" s="1">
        <f>IF(C160="","",COUNTA(C$4:C160))</f>
        <v>156</v>
      </c>
      <c r="B160" s="1" t="s">
        <v>309</v>
      </c>
      <c r="C160" s="1" t="s">
        <v>310</v>
      </c>
      <c r="E160">
        <f t="shared" si="2"/>
        <v>0</v>
      </c>
    </row>
    <row r="161" spans="1:5">
      <c r="A161" s="1">
        <f>IF(C161="","",COUNTA(C$4:C161))</f>
        <v>157</v>
      </c>
      <c r="B161" s="1" t="s">
        <v>311</v>
      </c>
      <c r="C161" s="1" t="s">
        <v>312</v>
      </c>
      <c r="E161">
        <f t="shared" si="2"/>
        <v>0</v>
      </c>
    </row>
    <row r="162" spans="1:5">
      <c r="A162" s="1">
        <f>IF(C162="","",COUNTA(C$4:C162))</f>
        <v>158</v>
      </c>
      <c r="B162" s="1" t="s">
        <v>313</v>
      </c>
      <c r="C162" s="1" t="s">
        <v>314</v>
      </c>
      <c r="E162">
        <f t="shared" si="2"/>
        <v>0</v>
      </c>
    </row>
    <row r="163" spans="1:5">
      <c r="A163" s="1">
        <f>IF(C163="","",COUNTA(C$4:C163))</f>
        <v>159</v>
      </c>
      <c r="B163" s="1" t="s">
        <v>315</v>
      </c>
      <c r="C163" s="1" t="s">
        <v>316</v>
      </c>
      <c r="E163">
        <f t="shared" si="2"/>
        <v>0</v>
      </c>
    </row>
    <row r="164" spans="1:5">
      <c r="A164" s="1">
        <f>IF(C164="","",COUNTA(C$4:C164))</f>
        <v>160</v>
      </c>
      <c r="B164" s="1" t="s">
        <v>317</v>
      </c>
      <c r="C164" s="1" t="s">
        <v>318</v>
      </c>
      <c r="E164">
        <f t="shared" si="2"/>
        <v>0</v>
      </c>
    </row>
    <row r="165" spans="1:5">
      <c r="A165" s="1">
        <f>IF(C165="","",COUNTA(C$4:C165))</f>
        <v>161</v>
      </c>
      <c r="B165" s="1" t="s">
        <v>319</v>
      </c>
      <c r="C165" s="1" t="s">
        <v>320</v>
      </c>
      <c r="E165">
        <f t="shared" si="2"/>
        <v>0</v>
      </c>
    </row>
    <row r="166" spans="1:5">
      <c r="A166" s="1">
        <f>IF(C166="","",COUNTA(C$4:C166))</f>
        <v>162</v>
      </c>
      <c r="B166" s="1" t="s">
        <v>321</v>
      </c>
      <c r="C166" s="1" t="s">
        <v>322</v>
      </c>
      <c r="E166">
        <f t="shared" si="2"/>
        <v>0</v>
      </c>
    </row>
    <row r="167" spans="1:5">
      <c r="A167" s="1">
        <f>IF(C167="","",COUNTA(C$4:C167))</f>
        <v>163</v>
      </c>
      <c r="B167" s="1" t="s">
        <v>323</v>
      </c>
      <c r="C167" s="1" t="s">
        <v>324</v>
      </c>
      <c r="E167">
        <f t="shared" si="2"/>
        <v>0</v>
      </c>
    </row>
    <row r="168" spans="1:5">
      <c r="A168" s="1">
        <f>IF(C168="","",COUNTA(C$4:C168))</f>
        <v>164</v>
      </c>
      <c r="B168" s="1" t="s">
        <v>325</v>
      </c>
      <c r="C168" s="1" t="s">
        <v>326</v>
      </c>
      <c r="E168">
        <f t="shared" si="2"/>
        <v>0</v>
      </c>
    </row>
    <row r="169" spans="1:5">
      <c r="A169" s="1">
        <f>IF(C169="","",COUNTA(C$4:C169))</f>
        <v>165</v>
      </c>
      <c r="B169" s="1" t="s">
        <v>327</v>
      </c>
      <c r="C169" s="1" t="s">
        <v>328</v>
      </c>
      <c r="E169">
        <f t="shared" si="2"/>
        <v>0</v>
      </c>
    </row>
    <row r="170" spans="1:5">
      <c r="A170" s="1">
        <f>IF(C170="","",COUNTA(C$4:C170))</f>
        <v>166</v>
      </c>
      <c r="B170" s="1" t="s">
        <v>329</v>
      </c>
      <c r="C170" s="1" t="s">
        <v>330</v>
      </c>
      <c r="E170">
        <f t="shared" si="2"/>
        <v>0</v>
      </c>
    </row>
    <row r="171" spans="1:5">
      <c r="A171" s="1">
        <f>IF(C171="","",COUNTA(C$4:C171))</f>
        <v>167</v>
      </c>
      <c r="B171" s="1" t="s">
        <v>331</v>
      </c>
      <c r="C171" s="1" t="s">
        <v>332</v>
      </c>
      <c r="E171">
        <f t="shared" si="2"/>
        <v>0</v>
      </c>
    </row>
    <row r="172" spans="1:5">
      <c r="A172" s="1">
        <f>IF(C172="","",COUNTA(C$4:C172))</f>
        <v>168</v>
      </c>
      <c r="B172" s="1" t="s">
        <v>333</v>
      </c>
      <c r="C172" s="1" t="s">
        <v>334</v>
      </c>
      <c r="E172">
        <f t="shared" si="2"/>
        <v>0</v>
      </c>
    </row>
    <row r="173" spans="1:5">
      <c r="A173" s="1">
        <f>IF(C173="","",COUNTA(C$4:C173))</f>
        <v>169</v>
      </c>
      <c r="B173" s="1" t="s">
        <v>335</v>
      </c>
      <c r="C173" s="1" t="s">
        <v>336</v>
      </c>
      <c r="E173">
        <f t="shared" si="2"/>
        <v>0</v>
      </c>
    </row>
    <row r="174" spans="1:5">
      <c r="A174" s="1">
        <f>IF(C174="","",COUNTA(C$4:C174))</f>
        <v>170</v>
      </c>
      <c r="B174" s="1" t="s">
        <v>337</v>
      </c>
      <c r="C174" s="1" t="s">
        <v>338</v>
      </c>
      <c r="E174">
        <f t="shared" si="2"/>
        <v>0</v>
      </c>
    </row>
    <row r="175" spans="1:5">
      <c r="A175" s="1">
        <f>IF(C175="","",COUNTA(C$4:C175))</f>
        <v>171</v>
      </c>
      <c r="B175" s="1" t="s">
        <v>339</v>
      </c>
      <c r="C175" s="1" t="s">
        <v>340</v>
      </c>
      <c r="E175">
        <f t="shared" si="2"/>
        <v>0</v>
      </c>
    </row>
    <row r="176" spans="1:5">
      <c r="A176" s="1">
        <f>IF(C176="","",COUNTA(C$4:C176))</f>
        <v>172</v>
      </c>
      <c r="B176" s="1" t="s">
        <v>341</v>
      </c>
      <c r="C176" s="1" t="s">
        <v>342</v>
      </c>
      <c r="E176">
        <f t="shared" si="2"/>
        <v>0</v>
      </c>
    </row>
    <row r="177" spans="1:5">
      <c r="A177" s="1">
        <f>IF(C177="","",COUNTA(C$4:C177))</f>
        <v>173</v>
      </c>
      <c r="B177" s="1" t="s">
        <v>343</v>
      </c>
      <c r="C177" s="1" t="s">
        <v>344</v>
      </c>
      <c r="E177">
        <f t="shared" si="2"/>
        <v>0</v>
      </c>
    </row>
    <row r="178" spans="1:5">
      <c r="A178" s="1">
        <f>IF(C178="","",COUNTA(C$4:C178))</f>
        <v>174</v>
      </c>
      <c r="B178" s="1" t="s">
        <v>345</v>
      </c>
      <c r="C178" s="1" t="s">
        <v>346</v>
      </c>
      <c r="E178">
        <f t="shared" si="2"/>
        <v>0</v>
      </c>
    </row>
    <row r="179" spans="1:5">
      <c r="A179" s="1">
        <f>IF(C179="","",COUNTA(C$4:C179))</f>
        <v>175</v>
      </c>
      <c r="B179" s="1" t="s">
        <v>347</v>
      </c>
      <c r="C179" s="1" t="s">
        <v>348</v>
      </c>
      <c r="E179">
        <f t="shared" si="2"/>
        <v>0</v>
      </c>
    </row>
    <row r="180" spans="1:5">
      <c r="A180" s="1">
        <f>IF(C180="","",COUNTA(C$4:C180))</f>
        <v>176</v>
      </c>
      <c r="B180" s="1" t="s">
        <v>349</v>
      </c>
      <c r="C180" s="1" t="s">
        <v>350</v>
      </c>
      <c r="E180">
        <f t="shared" si="2"/>
        <v>0</v>
      </c>
    </row>
    <row r="181" spans="1:5">
      <c r="A181" s="1">
        <f>IF(C181="","",COUNTA(C$4:C181))</f>
        <v>177</v>
      </c>
      <c r="B181" s="1" t="s">
        <v>351</v>
      </c>
      <c r="C181" s="1" t="s">
        <v>352</v>
      </c>
      <c r="E181">
        <f t="shared" si="2"/>
        <v>0</v>
      </c>
    </row>
    <row r="182" spans="1:5">
      <c r="A182" s="1">
        <f>IF(C182="","",COUNTA(C$4:C182))</f>
        <v>178</v>
      </c>
      <c r="B182" s="1" t="s">
        <v>353</v>
      </c>
      <c r="C182" s="1" t="s">
        <v>354</v>
      </c>
      <c r="E182">
        <f t="shared" si="2"/>
        <v>0</v>
      </c>
    </row>
    <row r="183" spans="1:5">
      <c r="A183" s="1">
        <f>IF(C183="","",COUNTA(C$4:C183))</f>
        <v>179</v>
      </c>
      <c r="B183" s="1" t="s">
        <v>355</v>
      </c>
      <c r="C183" s="1" t="s">
        <v>356</v>
      </c>
      <c r="E183">
        <f t="shared" si="2"/>
        <v>0</v>
      </c>
    </row>
    <row r="184" spans="1:5">
      <c r="A184" s="1">
        <f>IF(C184="","",COUNTA(C$4:C184))</f>
        <v>180</v>
      </c>
      <c r="B184" s="1" t="s">
        <v>357</v>
      </c>
      <c r="C184" s="1" t="s">
        <v>358</v>
      </c>
      <c r="E184">
        <f t="shared" si="2"/>
        <v>0</v>
      </c>
    </row>
    <row r="185" spans="1:5">
      <c r="A185" s="1">
        <f>IF(C185="","",COUNTA(C$4:C185))</f>
        <v>181</v>
      </c>
      <c r="B185" s="1" t="s">
        <v>359</v>
      </c>
      <c r="C185" s="1" t="s">
        <v>360</v>
      </c>
      <c r="E185">
        <f t="shared" si="2"/>
        <v>0</v>
      </c>
    </row>
    <row r="186" spans="1:5">
      <c r="A186" s="1">
        <f>IF(C186="","",COUNTA(C$4:C186))</f>
        <v>182</v>
      </c>
      <c r="B186" s="1" t="s">
        <v>359</v>
      </c>
      <c r="C186" s="1" t="s">
        <v>361</v>
      </c>
      <c r="E186">
        <f t="shared" si="2"/>
        <v>0</v>
      </c>
    </row>
    <row r="187" spans="1:5">
      <c r="A187" s="1">
        <f>IF(C187="","",COUNTA(C$4:C187))</f>
        <v>183</v>
      </c>
      <c r="B187" s="1" t="s">
        <v>362</v>
      </c>
      <c r="C187" s="1" t="s">
        <v>363</v>
      </c>
      <c r="E187">
        <f t="shared" si="2"/>
        <v>0</v>
      </c>
    </row>
    <row r="188" spans="1:5">
      <c r="A188" s="1">
        <f>IF(C188="","",COUNTA(C$4:C188))</f>
        <v>184</v>
      </c>
      <c r="B188" s="1" t="s">
        <v>364</v>
      </c>
      <c r="C188" s="1" t="s">
        <v>365</v>
      </c>
      <c r="E188">
        <f t="shared" si="2"/>
        <v>0</v>
      </c>
    </row>
    <row r="189" spans="1:5">
      <c r="A189" s="1">
        <f>IF(C189="","",COUNTA(C$4:C189))</f>
        <v>185</v>
      </c>
      <c r="B189" s="1" t="s">
        <v>366</v>
      </c>
      <c r="C189" s="1" t="s">
        <v>367</v>
      </c>
      <c r="E189">
        <f t="shared" si="2"/>
        <v>0</v>
      </c>
    </row>
    <row r="190" spans="1:5">
      <c r="A190" s="1">
        <f>IF(C190="","",COUNTA(C$4:C190))</f>
        <v>186</v>
      </c>
      <c r="B190" s="1" t="s">
        <v>23</v>
      </c>
      <c r="C190" s="1" t="s">
        <v>368</v>
      </c>
      <c r="E190">
        <f t="shared" si="2"/>
        <v>0</v>
      </c>
    </row>
    <row r="191" spans="1:5">
      <c r="A191" s="1">
        <f>IF(C191="","",COUNTA(C$4:C191))</f>
        <v>187</v>
      </c>
      <c r="B191" s="1" t="s">
        <v>369</v>
      </c>
      <c r="C191" s="1" t="s">
        <v>370</v>
      </c>
      <c r="E191">
        <f t="shared" si="2"/>
        <v>0</v>
      </c>
    </row>
    <row r="192" spans="1:5">
      <c r="A192" s="1">
        <f>IF(C192="","",COUNTA(C$4:C192))</f>
        <v>188</v>
      </c>
      <c r="B192" s="1" t="s">
        <v>371</v>
      </c>
      <c r="C192" s="1" t="s">
        <v>372</v>
      </c>
      <c r="E192">
        <f t="shared" si="2"/>
        <v>0</v>
      </c>
    </row>
    <row r="193" spans="1:5">
      <c r="A193" s="1">
        <f>IF(C193="","",COUNTA(C$4:C193))</f>
        <v>189</v>
      </c>
      <c r="B193" s="1" t="s">
        <v>373</v>
      </c>
      <c r="C193" s="1" t="s">
        <v>374</v>
      </c>
      <c r="E193">
        <f t="shared" si="2"/>
        <v>0</v>
      </c>
    </row>
    <row r="194" spans="1:5">
      <c r="A194" s="1">
        <f>IF(C194="","",COUNTA(C$4:C194))</f>
        <v>190</v>
      </c>
      <c r="B194" s="1" t="s">
        <v>375</v>
      </c>
      <c r="C194" s="1" t="s">
        <v>376</v>
      </c>
      <c r="E194">
        <f t="shared" si="2"/>
        <v>0</v>
      </c>
    </row>
    <row r="195" spans="1:5">
      <c r="A195" s="1">
        <f>IF(C195="","",COUNTA(C$4:C195))</f>
        <v>191</v>
      </c>
      <c r="B195" s="1" t="s">
        <v>377</v>
      </c>
      <c r="C195" s="1" t="s">
        <v>378</v>
      </c>
      <c r="E195">
        <f t="shared" si="2"/>
        <v>0</v>
      </c>
    </row>
    <row r="196" spans="1:5">
      <c r="A196" s="1">
        <f>IF(C196="","",COUNTA(C$4:C196))</f>
        <v>192</v>
      </c>
      <c r="B196" s="1" t="s">
        <v>379</v>
      </c>
      <c r="C196" s="1" t="s">
        <v>380</v>
      </c>
      <c r="E196">
        <f t="shared" si="2"/>
        <v>0</v>
      </c>
    </row>
    <row r="197" spans="1:5">
      <c r="A197" s="1">
        <f>IF(C197="","",COUNTA(C$4:C197))</f>
        <v>193</v>
      </c>
      <c r="B197" s="1" t="s">
        <v>381</v>
      </c>
      <c r="C197" s="1" t="s">
        <v>382</v>
      </c>
      <c r="E197">
        <f t="shared" ref="E197:E260" si="3">IF(C197=D197,1,0)</f>
        <v>0</v>
      </c>
    </row>
    <row r="198" spans="1:5">
      <c r="A198" s="1">
        <f>IF(C198="","",COUNTA(C$4:C198))</f>
        <v>194</v>
      </c>
      <c r="B198" s="1" t="s">
        <v>383</v>
      </c>
      <c r="C198" s="1" t="s">
        <v>384</v>
      </c>
      <c r="E198">
        <f t="shared" si="3"/>
        <v>0</v>
      </c>
    </row>
    <row r="199" spans="1:5">
      <c r="A199" s="1">
        <f>IF(C199="","",COUNTA(C$4:C199))</f>
        <v>195</v>
      </c>
      <c r="B199" s="1" t="s">
        <v>385</v>
      </c>
      <c r="C199" s="1" t="s">
        <v>386</v>
      </c>
      <c r="E199">
        <f t="shared" si="3"/>
        <v>0</v>
      </c>
    </row>
    <row r="200" spans="1:5">
      <c r="A200" s="1">
        <f>IF(C200="","",COUNTA(C$4:C200))</f>
        <v>196</v>
      </c>
      <c r="B200" s="1" t="s">
        <v>387</v>
      </c>
      <c r="C200" s="1" t="s">
        <v>388</v>
      </c>
      <c r="E200">
        <f t="shared" si="3"/>
        <v>0</v>
      </c>
    </row>
    <row r="201" spans="1:5">
      <c r="A201" s="1">
        <f>IF(C201="","",COUNTA(C$4:C201))</f>
        <v>197</v>
      </c>
      <c r="B201" s="1" t="s">
        <v>389</v>
      </c>
      <c r="C201" s="1" t="s">
        <v>390</v>
      </c>
      <c r="E201">
        <f t="shared" si="3"/>
        <v>0</v>
      </c>
    </row>
    <row r="202" spans="1:5">
      <c r="A202" s="1">
        <f>IF(C202="","",COUNTA(C$4:C202))</f>
        <v>198</v>
      </c>
      <c r="B202" s="1" t="s">
        <v>391</v>
      </c>
      <c r="C202" s="1" t="s">
        <v>392</v>
      </c>
      <c r="E202">
        <f t="shared" si="3"/>
        <v>0</v>
      </c>
    </row>
    <row r="203" spans="1:5">
      <c r="A203" s="1">
        <f>IF(C203="","",COUNTA(C$4:C203))</f>
        <v>199</v>
      </c>
      <c r="B203" s="1" t="s">
        <v>393</v>
      </c>
      <c r="C203" s="1" t="s">
        <v>394</v>
      </c>
      <c r="E203">
        <f t="shared" si="3"/>
        <v>0</v>
      </c>
    </row>
    <row r="204" spans="1:5">
      <c r="A204" s="1">
        <f>IF(C204="","",COUNTA(C$4:C204))</f>
        <v>200</v>
      </c>
      <c r="B204" s="1" t="s">
        <v>395</v>
      </c>
      <c r="C204" s="1" t="s">
        <v>396</v>
      </c>
      <c r="E204">
        <f t="shared" si="3"/>
        <v>0</v>
      </c>
    </row>
    <row r="205" spans="1:5">
      <c r="A205" s="1">
        <f>IF(C205="","",COUNTA(C$4:C205))</f>
        <v>201</v>
      </c>
      <c r="B205" s="1" t="s">
        <v>397</v>
      </c>
      <c r="C205" s="1" t="s">
        <v>398</v>
      </c>
      <c r="E205">
        <f t="shared" si="3"/>
        <v>0</v>
      </c>
    </row>
    <row r="206" spans="1:5">
      <c r="A206" s="1">
        <f>IF(C206="","",COUNTA(C$4:C206))</f>
        <v>202</v>
      </c>
      <c r="B206" s="1" t="s">
        <v>399</v>
      </c>
      <c r="C206" s="1" t="s">
        <v>400</v>
      </c>
      <c r="E206">
        <f t="shared" si="3"/>
        <v>0</v>
      </c>
    </row>
    <row r="207" spans="1:5">
      <c r="A207" s="1">
        <f>IF(C207="","",COUNTA(C$4:C207))</f>
        <v>203</v>
      </c>
      <c r="B207" s="1" t="s">
        <v>401</v>
      </c>
      <c r="C207" s="1" t="s">
        <v>402</v>
      </c>
      <c r="E207">
        <f t="shared" si="3"/>
        <v>0</v>
      </c>
    </row>
    <row r="208" spans="1:5">
      <c r="A208" s="1">
        <f>IF(C208="","",COUNTA(C$4:C208))</f>
        <v>204</v>
      </c>
      <c r="B208" s="1" t="s">
        <v>403</v>
      </c>
      <c r="C208" s="1" t="s">
        <v>404</v>
      </c>
      <c r="E208">
        <f t="shared" si="3"/>
        <v>0</v>
      </c>
    </row>
    <row r="209" spans="1:5">
      <c r="A209" s="1">
        <f>IF(C209="","",COUNTA(C$4:C209))</f>
        <v>205</v>
      </c>
      <c r="B209" s="1" t="s">
        <v>405</v>
      </c>
      <c r="C209" s="1" t="s">
        <v>406</v>
      </c>
      <c r="E209">
        <f t="shared" si="3"/>
        <v>0</v>
      </c>
    </row>
    <row r="210" spans="1:5">
      <c r="A210" s="1">
        <f>IF(C210="","",COUNTA(C$4:C210))</f>
        <v>206</v>
      </c>
      <c r="B210" s="1" t="s">
        <v>407</v>
      </c>
      <c r="C210" s="1" t="s">
        <v>408</v>
      </c>
      <c r="E210">
        <f t="shared" si="3"/>
        <v>0</v>
      </c>
    </row>
    <row r="211" spans="1:5">
      <c r="A211" s="1">
        <f>IF(C211="","",COUNTA(C$4:C211))</f>
        <v>207</v>
      </c>
      <c r="B211" s="1" t="s">
        <v>409</v>
      </c>
      <c r="C211" s="1" t="s">
        <v>410</v>
      </c>
      <c r="E211">
        <f t="shared" si="3"/>
        <v>0</v>
      </c>
    </row>
    <row r="212" spans="1:5">
      <c r="A212" s="1">
        <f>IF(C212="","",COUNTA(C$4:C212))</f>
        <v>208</v>
      </c>
      <c r="B212" s="1" t="s">
        <v>411</v>
      </c>
      <c r="C212" s="1" t="s">
        <v>412</v>
      </c>
      <c r="E212">
        <f t="shared" si="3"/>
        <v>0</v>
      </c>
    </row>
    <row r="213" spans="1:5">
      <c r="A213" s="1">
        <f>IF(C213="","",COUNTA(C$4:C213))</f>
        <v>209</v>
      </c>
      <c r="B213" s="1" t="s">
        <v>413</v>
      </c>
      <c r="C213" s="1" t="s">
        <v>414</v>
      </c>
      <c r="E213">
        <f t="shared" si="3"/>
        <v>0</v>
      </c>
    </row>
    <row r="214" spans="1:5">
      <c r="A214" s="1">
        <f>IF(C214="","",COUNTA(C$4:C214))</f>
        <v>210</v>
      </c>
      <c r="B214" s="1" t="s">
        <v>415</v>
      </c>
      <c r="C214" s="1" t="s">
        <v>416</v>
      </c>
      <c r="E214">
        <f t="shared" si="3"/>
        <v>0</v>
      </c>
    </row>
    <row r="215" spans="1:5">
      <c r="A215" s="1">
        <f>IF(C215="","",COUNTA(C$4:C215))</f>
        <v>211</v>
      </c>
      <c r="B215" s="1" t="s">
        <v>417</v>
      </c>
      <c r="C215" s="1" t="s">
        <v>418</v>
      </c>
      <c r="E215">
        <f t="shared" si="3"/>
        <v>0</v>
      </c>
    </row>
    <row r="216" spans="1:5">
      <c r="A216" s="1">
        <f>IF(C216="","",COUNTA(C$4:C216))</f>
        <v>212</v>
      </c>
      <c r="B216" s="1" t="s">
        <v>419</v>
      </c>
      <c r="C216" s="1" t="s">
        <v>420</v>
      </c>
      <c r="E216">
        <f t="shared" si="3"/>
        <v>0</v>
      </c>
    </row>
    <row r="217" spans="1:5">
      <c r="A217" s="1">
        <f>IF(C217="","",COUNTA(C$4:C217))</f>
        <v>213</v>
      </c>
      <c r="B217" s="1" t="s">
        <v>421</v>
      </c>
      <c r="C217" s="1" t="s">
        <v>422</v>
      </c>
      <c r="E217">
        <f t="shared" si="3"/>
        <v>0</v>
      </c>
    </row>
    <row r="218" spans="1:5">
      <c r="A218" s="1">
        <f>IF(C218="","",COUNTA(C$4:C218))</f>
        <v>214</v>
      </c>
      <c r="B218" s="1" t="s">
        <v>423</v>
      </c>
      <c r="C218" s="1" t="s">
        <v>424</v>
      </c>
      <c r="E218">
        <f t="shared" si="3"/>
        <v>0</v>
      </c>
    </row>
    <row r="219" spans="1:5">
      <c r="A219" s="1">
        <f>IF(C219="","",COUNTA(C$4:C219))</f>
        <v>215</v>
      </c>
      <c r="B219" s="1" t="s">
        <v>425</v>
      </c>
      <c r="C219" s="1" t="s">
        <v>426</v>
      </c>
      <c r="E219">
        <f t="shared" si="3"/>
        <v>0</v>
      </c>
    </row>
    <row r="220" spans="1:5">
      <c r="A220" s="1">
        <f>IF(C220="","",COUNTA(C$4:C220))</f>
        <v>216</v>
      </c>
      <c r="B220" s="1" t="s">
        <v>427</v>
      </c>
      <c r="C220" s="1" t="s">
        <v>428</v>
      </c>
      <c r="E220">
        <f t="shared" si="3"/>
        <v>0</v>
      </c>
    </row>
    <row r="221" spans="1:5">
      <c r="A221" s="1">
        <f>IF(C221="","",COUNTA(C$4:C221))</f>
        <v>217</v>
      </c>
      <c r="B221" s="1" t="s">
        <v>429</v>
      </c>
      <c r="C221" s="3" t="s">
        <v>430</v>
      </c>
      <c r="E221">
        <f t="shared" si="3"/>
        <v>0</v>
      </c>
    </row>
    <row r="222" spans="1:5">
      <c r="A222" s="1">
        <f>IF(C222="","",COUNTA(C$4:C222))</f>
        <v>218</v>
      </c>
      <c r="B222" s="1" t="s">
        <v>431</v>
      </c>
      <c r="C222" s="1" t="s">
        <v>432</v>
      </c>
      <c r="E222">
        <f t="shared" si="3"/>
        <v>0</v>
      </c>
    </row>
    <row r="223" spans="1:5">
      <c r="A223" s="1">
        <f>IF(C223="","",COUNTA(C$4:C223))</f>
        <v>219</v>
      </c>
      <c r="B223" s="1" t="s">
        <v>433</v>
      </c>
      <c r="C223" s="1" t="s">
        <v>434</v>
      </c>
      <c r="E223">
        <f t="shared" si="3"/>
        <v>0</v>
      </c>
    </row>
    <row r="224" spans="1:5">
      <c r="A224" s="1">
        <f>IF(C224="","",COUNTA(C$4:C224))</f>
        <v>220</v>
      </c>
      <c r="B224" s="1" t="s">
        <v>435</v>
      </c>
      <c r="C224" s="1" t="s">
        <v>436</v>
      </c>
      <c r="E224">
        <f t="shared" si="3"/>
        <v>0</v>
      </c>
    </row>
    <row r="225" spans="1:5">
      <c r="A225" s="1">
        <f>IF(C225="","",COUNTA(C$4:C225))</f>
        <v>221</v>
      </c>
      <c r="B225" s="1" t="s">
        <v>437</v>
      </c>
      <c r="C225" s="1" t="s">
        <v>438</v>
      </c>
      <c r="E225">
        <f t="shared" si="3"/>
        <v>0</v>
      </c>
    </row>
    <row r="226" spans="1:5">
      <c r="A226" s="1">
        <f>IF(C226="","",COUNTA(C$4:C226))</f>
        <v>222</v>
      </c>
      <c r="B226" s="1" t="s">
        <v>439</v>
      </c>
      <c r="C226" s="1" t="s">
        <v>440</v>
      </c>
      <c r="E226">
        <f t="shared" si="3"/>
        <v>0</v>
      </c>
    </row>
    <row r="227" spans="1:5">
      <c r="A227" s="1">
        <f>IF(C227="","",COUNTA(C$4:C227))</f>
        <v>223</v>
      </c>
      <c r="B227" s="1" t="s">
        <v>441</v>
      </c>
      <c r="C227" s="1" t="s">
        <v>442</v>
      </c>
      <c r="E227">
        <f t="shared" si="3"/>
        <v>0</v>
      </c>
    </row>
    <row r="228" spans="1:5">
      <c r="A228" s="1">
        <f>IF(C228="","",COUNTA(C$4:C228))</f>
        <v>224</v>
      </c>
      <c r="B228" s="1" t="s">
        <v>349</v>
      </c>
      <c r="C228" s="1" t="s">
        <v>443</v>
      </c>
      <c r="E228">
        <f t="shared" si="3"/>
        <v>0</v>
      </c>
    </row>
    <row r="229" spans="1:5">
      <c r="A229" s="1">
        <f>IF(C229="","",COUNTA(C$4:C229))</f>
        <v>225</v>
      </c>
      <c r="B229" s="1" t="s">
        <v>444</v>
      </c>
      <c r="C229" s="1" t="s">
        <v>445</v>
      </c>
      <c r="E229">
        <f t="shared" si="3"/>
        <v>0</v>
      </c>
    </row>
    <row r="230" spans="1:5">
      <c r="A230" s="1">
        <f>IF(C230="","",COUNTA(C$4:C230))</f>
        <v>226</v>
      </c>
      <c r="B230" s="1" t="s">
        <v>446</v>
      </c>
      <c r="C230" s="1" t="s">
        <v>447</v>
      </c>
      <c r="E230">
        <f t="shared" si="3"/>
        <v>0</v>
      </c>
    </row>
    <row r="231" spans="1:5">
      <c r="A231" s="1">
        <f>IF(C231="","",COUNTA(C$4:C231))</f>
        <v>227</v>
      </c>
      <c r="B231" s="1" t="s">
        <v>448</v>
      </c>
      <c r="C231" s="1" t="s">
        <v>449</v>
      </c>
      <c r="E231">
        <f t="shared" si="3"/>
        <v>0</v>
      </c>
    </row>
    <row r="232" spans="1:5">
      <c r="A232" s="1">
        <f>IF(C232="","",COUNTA(C$4:C232))</f>
        <v>228</v>
      </c>
      <c r="B232" s="1" t="s">
        <v>450</v>
      </c>
      <c r="C232" s="1" t="s">
        <v>451</v>
      </c>
      <c r="E232">
        <f t="shared" si="3"/>
        <v>0</v>
      </c>
    </row>
    <row r="233" spans="1:5">
      <c r="A233" s="1">
        <f>IF(C233="","",COUNTA(C$4:C233))</f>
        <v>229</v>
      </c>
      <c r="B233" s="1" t="s">
        <v>452</v>
      </c>
      <c r="C233" s="1" t="s">
        <v>453</v>
      </c>
      <c r="E233">
        <f t="shared" si="3"/>
        <v>0</v>
      </c>
    </row>
    <row r="234" spans="1:5">
      <c r="A234" s="1">
        <f>IF(C234="","",COUNTA(C$4:C234))</f>
        <v>230</v>
      </c>
      <c r="B234" s="1" t="s">
        <v>454</v>
      </c>
      <c r="C234" s="1" t="s">
        <v>455</v>
      </c>
      <c r="E234">
        <f t="shared" si="3"/>
        <v>0</v>
      </c>
    </row>
    <row r="235" spans="1:5">
      <c r="A235" s="1">
        <f>IF(C235="","",COUNTA(C$4:C235))</f>
        <v>231</v>
      </c>
      <c r="B235" s="1" t="s">
        <v>456</v>
      </c>
      <c r="C235" s="1" t="s">
        <v>457</v>
      </c>
      <c r="E235">
        <f t="shared" si="3"/>
        <v>0</v>
      </c>
    </row>
    <row r="236" spans="1:5">
      <c r="A236" s="1">
        <f>IF(C236="","",COUNTA(C$4:C236))</f>
        <v>232</v>
      </c>
      <c r="B236" s="1" t="s">
        <v>458</v>
      </c>
      <c r="C236" s="1" t="s">
        <v>459</v>
      </c>
      <c r="E236">
        <f t="shared" si="3"/>
        <v>0</v>
      </c>
    </row>
    <row r="237" spans="1:5">
      <c r="A237" s="1">
        <f>IF(C237="","",COUNTA(C$4:C237))</f>
        <v>233</v>
      </c>
      <c r="B237" s="1" t="s">
        <v>460</v>
      </c>
      <c r="C237" s="1" t="s">
        <v>461</v>
      </c>
      <c r="E237">
        <f t="shared" si="3"/>
        <v>0</v>
      </c>
    </row>
    <row r="238" spans="1:5">
      <c r="A238" s="1">
        <f>IF(C238="","",COUNTA(C$4:C238))</f>
        <v>234</v>
      </c>
      <c r="B238" s="1" t="s">
        <v>462</v>
      </c>
      <c r="C238" s="1" t="s">
        <v>463</v>
      </c>
      <c r="E238">
        <f t="shared" si="3"/>
        <v>0</v>
      </c>
    </row>
    <row r="239" spans="1:5">
      <c r="A239" s="1">
        <f>IF(C239="","",COUNTA(C$4:C239))</f>
        <v>235</v>
      </c>
      <c r="B239" s="1" t="s">
        <v>464</v>
      </c>
      <c r="C239" s="1" t="s">
        <v>465</v>
      </c>
      <c r="E239">
        <f t="shared" si="3"/>
        <v>0</v>
      </c>
    </row>
    <row r="240" spans="1:5">
      <c r="A240" s="1">
        <f>IF(C240="","",COUNTA(C$4:C240))</f>
        <v>236</v>
      </c>
      <c r="B240" s="1" t="s">
        <v>466</v>
      </c>
      <c r="C240" s="1" t="s">
        <v>467</v>
      </c>
      <c r="E240">
        <f t="shared" si="3"/>
        <v>0</v>
      </c>
    </row>
    <row r="241" spans="1:5">
      <c r="A241" s="1">
        <f>IF(C241="","",COUNTA(C$4:C241))</f>
        <v>237</v>
      </c>
      <c r="B241" s="1" t="s">
        <v>468</v>
      </c>
      <c r="C241" s="1" t="s">
        <v>469</v>
      </c>
      <c r="E241">
        <f t="shared" si="3"/>
        <v>0</v>
      </c>
    </row>
    <row r="242" spans="1:5">
      <c r="A242" s="1">
        <f>IF(C242="","",COUNTA(C$4:C242))</f>
        <v>238</v>
      </c>
      <c r="B242" s="1" t="s">
        <v>470</v>
      </c>
      <c r="C242" s="1" t="s">
        <v>471</v>
      </c>
      <c r="E242">
        <f t="shared" si="3"/>
        <v>0</v>
      </c>
    </row>
    <row r="243" spans="1:5">
      <c r="A243" s="1">
        <f>IF(C243="","",COUNTA(C$4:C243))</f>
        <v>239</v>
      </c>
      <c r="B243" s="1" t="s">
        <v>472</v>
      </c>
      <c r="C243" s="1" t="s">
        <v>473</v>
      </c>
      <c r="E243">
        <f t="shared" si="3"/>
        <v>0</v>
      </c>
    </row>
    <row r="244" spans="1:5">
      <c r="A244" s="1">
        <f>IF(C244="","",COUNTA(C$4:C244))</f>
        <v>240</v>
      </c>
      <c r="B244" s="1" t="s">
        <v>474</v>
      </c>
      <c r="C244" s="1" t="s">
        <v>475</v>
      </c>
      <c r="E244">
        <f t="shared" si="3"/>
        <v>0</v>
      </c>
    </row>
    <row r="245" spans="1:5">
      <c r="A245" s="1">
        <f>IF(C245="","",COUNTA(C$4:C245))</f>
        <v>241</v>
      </c>
      <c r="B245" s="1" t="s">
        <v>476</v>
      </c>
      <c r="C245" s="1" t="s">
        <v>477</v>
      </c>
      <c r="E245">
        <f t="shared" si="3"/>
        <v>0</v>
      </c>
    </row>
    <row r="246" spans="1:5">
      <c r="A246" s="1">
        <f>IF(C246="","",COUNTA(C$4:C246))</f>
        <v>242</v>
      </c>
      <c r="B246" s="1" t="s">
        <v>478</v>
      </c>
      <c r="C246" s="1" t="s">
        <v>479</v>
      </c>
      <c r="E246">
        <f t="shared" si="3"/>
        <v>0</v>
      </c>
    </row>
    <row r="247" spans="1:5">
      <c r="A247" s="1">
        <f>IF(C247="","",COUNTA(C$4:C247))</f>
        <v>243</v>
      </c>
      <c r="B247" s="1" t="s">
        <v>223</v>
      </c>
      <c r="C247" s="1" t="s">
        <v>480</v>
      </c>
      <c r="E247">
        <f t="shared" si="3"/>
        <v>0</v>
      </c>
    </row>
    <row r="248" spans="1:5">
      <c r="A248" s="1">
        <f>IF(C248="","",COUNTA(C$4:C248))</f>
        <v>244</v>
      </c>
      <c r="B248" s="1" t="s">
        <v>481</v>
      </c>
      <c r="C248" s="1" t="s">
        <v>482</v>
      </c>
      <c r="E248">
        <f t="shared" si="3"/>
        <v>0</v>
      </c>
    </row>
    <row r="249" spans="1:5">
      <c r="A249" s="1">
        <f>IF(C249="","",COUNTA(C$4:C249))</f>
        <v>245</v>
      </c>
      <c r="B249" s="1" t="s">
        <v>483</v>
      </c>
      <c r="C249" s="1" t="s">
        <v>484</v>
      </c>
      <c r="E249">
        <f t="shared" si="3"/>
        <v>0</v>
      </c>
    </row>
    <row r="250" spans="1:5">
      <c r="A250" s="1">
        <f>IF(C250="","",COUNTA(C$4:C250))</f>
        <v>246</v>
      </c>
      <c r="B250" s="1" t="s">
        <v>485</v>
      </c>
      <c r="C250" s="1" t="s">
        <v>486</v>
      </c>
      <c r="E250">
        <f t="shared" si="3"/>
        <v>0</v>
      </c>
    </row>
    <row r="251" spans="1:5">
      <c r="A251" s="1">
        <f>IF(C251="","",COUNTA(C$4:C251))</f>
        <v>247</v>
      </c>
      <c r="B251" s="1" t="s">
        <v>487</v>
      </c>
      <c r="C251" s="1" t="s">
        <v>488</v>
      </c>
      <c r="E251">
        <f t="shared" si="3"/>
        <v>0</v>
      </c>
    </row>
    <row r="252" spans="1:5">
      <c r="A252" s="1">
        <f>IF(C252="","",COUNTA(C$4:C252))</f>
        <v>248</v>
      </c>
      <c r="B252" s="1" t="s">
        <v>489</v>
      </c>
      <c r="C252" s="1" t="s">
        <v>490</v>
      </c>
      <c r="E252">
        <f t="shared" si="3"/>
        <v>0</v>
      </c>
    </row>
    <row r="253" spans="1:5">
      <c r="A253" s="1">
        <f>IF(C253="","",COUNTA(C$4:C253))</f>
        <v>249</v>
      </c>
      <c r="B253" s="1" t="s">
        <v>491</v>
      </c>
      <c r="C253" s="1" t="s">
        <v>492</v>
      </c>
      <c r="E253">
        <f t="shared" si="3"/>
        <v>0</v>
      </c>
    </row>
    <row r="254" spans="1:5">
      <c r="A254" s="1">
        <f>IF(C254="","",COUNTA(C$4:C254))</f>
        <v>250</v>
      </c>
      <c r="B254" s="1" t="s">
        <v>493</v>
      </c>
      <c r="C254" s="1" t="s">
        <v>494</v>
      </c>
      <c r="E254">
        <f t="shared" si="3"/>
        <v>0</v>
      </c>
    </row>
    <row r="255" spans="1:5">
      <c r="A255" s="1">
        <f>IF(C255="","",COUNTA(C$4:C255))</f>
        <v>251</v>
      </c>
      <c r="B255" s="1" t="s">
        <v>495</v>
      </c>
      <c r="C255" s="1" t="s">
        <v>496</v>
      </c>
      <c r="E255">
        <f t="shared" si="3"/>
        <v>0</v>
      </c>
    </row>
    <row r="256" spans="1:5">
      <c r="A256" s="1">
        <f>IF(C256="","",COUNTA(C$4:C256))</f>
        <v>252</v>
      </c>
      <c r="B256" s="1" t="s">
        <v>497</v>
      </c>
      <c r="C256" s="1" t="s">
        <v>498</v>
      </c>
      <c r="E256">
        <f t="shared" si="3"/>
        <v>0</v>
      </c>
    </row>
    <row r="257" spans="1:5">
      <c r="A257" s="1">
        <f>IF(C257="","",COUNTA(C$4:C257))</f>
        <v>253</v>
      </c>
      <c r="B257" s="1" t="s">
        <v>499</v>
      </c>
      <c r="C257" s="1" t="s">
        <v>500</v>
      </c>
      <c r="E257">
        <f t="shared" si="3"/>
        <v>0</v>
      </c>
    </row>
    <row r="258" spans="1:5">
      <c r="A258" s="1">
        <f>IF(C258="","",COUNTA(C$4:C258))</f>
        <v>254</v>
      </c>
      <c r="B258" s="1" t="s">
        <v>501</v>
      </c>
      <c r="C258" s="1" t="s">
        <v>502</v>
      </c>
      <c r="E258">
        <f t="shared" si="3"/>
        <v>0</v>
      </c>
    </row>
    <row r="259" spans="1:5">
      <c r="A259" s="1">
        <f>IF(C259="","",COUNTA(C$4:C259))</f>
        <v>255</v>
      </c>
      <c r="B259" s="1" t="s">
        <v>503</v>
      </c>
      <c r="C259" s="1" t="s">
        <v>504</v>
      </c>
      <c r="E259">
        <f t="shared" si="3"/>
        <v>0</v>
      </c>
    </row>
    <row r="260" spans="1:5">
      <c r="A260" s="12" t="s">
        <v>505</v>
      </c>
      <c r="B260" s="13"/>
      <c r="C260" s="14"/>
      <c r="D260" s="9"/>
      <c r="E260">
        <f t="shared" si="3"/>
        <v>1</v>
      </c>
    </row>
    <row r="261" spans="1:5">
      <c r="A261" s="1">
        <f>IF(C261="","",COUNTA(C$4:C261))</f>
        <v>256</v>
      </c>
      <c r="B261" s="1" t="s">
        <v>506</v>
      </c>
      <c r="C261" s="1" t="s">
        <v>507</v>
      </c>
      <c r="E261">
        <f t="shared" ref="E261:E324" si="4">IF(C261=D261,1,0)</f>
        <v>0</v>
      </c>
    </row>
    <row r="262" spans="1:5">
      <c r="A262" s="1">
        <f>IF(C262="","",COUNTA(C$4:C262))</f>
        <v>257</v>
      </c>
      <c r="B262" s="1" t="s">
        <v>508</v>
      </c>
      <c r="C262" s="1" t="s">
        <v>509</v>
      </c>
      <c r="E262">
        <f t="shared" si="4"/>
        <v>0</v>
      </c>
    </row>
    <row r="263" spans="1:5">
      <c r="A263" s="1">
        <f>IF(C263="","",COUNTA(C$4:C263))</f>
        <v>258</v>
      </c>
      <c r="B263" s="1" t="s">
        <v>510</v>
      </c>
      <c r="C263" s="1" t="s">
        <v>511</v>
      </c>
      <c r="E263">
        <f t="shared" si="4"/>
        <v>0</v>
      </c>
    </row>
    <row r="264" spans="1:5">
      <c r="A264" s="1">
        <f>IF(C264="","",COUNTA(C$4:C264))</f>
        <v>259</v>
      </c>
      <c r="B264" s="1" t="s">
        <v>512</v>
      </c>
      <c r="C264" s="1" t="s">
        <v>513</v>
      </c>
      <c r="E264">
        <f t="shared" si="4"/>
        <v>0</v>
      </c>
    </row>
    <row r="265" spans="1:5">
      <c r="A265" s="1">
        <f>IF(C265="","",COUNTA(C$4:C265))</f>
        <v>260</v>
      </c>
      <c r="B265" s="1" t="s">
        <v>514</v>
      </c>
      <c r="C265" s="1" t="s">
        <v>515</v>
      </c>
      <c r="E265">
        <f t="shared" si="4"/>
        <v>0</v>
      </c>
    </row>
    <row r="266" spans="1:5">
      <c r="A266" s="1">
        <f>IF(C266="","",COUNTA(C$4:C266))</f>
        <v>261</v>
      </c>
      <c r="B266" s="1" t="s">
        <v>516</v>
      </c>
      <c r="C266" s="1" t="s">
        <v>517</v>
      </c>
      <c r="E266">
        <f t="shared" si="4"/>
        <v>0</v>
      </c>
    </row>
    <row r="267" spans="1:5">
      <c r="A267" s="1">
        <f>IF(C267="","",COUNTA(C$4:C267))</f>
        <v>262</v>
      </c>
      <c r="B267" s="1" t="s">
        <v>518</v>
      </c>
      <c r="C267" s="1" t="s">
        <v>519</v>
      </c>
      <c r="E267">
        <f t="shared" si="4"/>
        <v>0</v>
      </c>
    </row>
    <row r="268" spans="1:5">
      <c r="A268" s="1">
        <f>IF(C268="","",COUNTA(C$4:C268))</f>
        <v>263</v>
      </c>
      <c r="B268" s="1" t="s">
        <v>520</v>
      </c>
      <c r="C268" s="1" t="s">
        <v>521</v>
      </c>
      <c r="E268">
        <f t="shared" si="4"/>
        <v>0</v>
      </c>
    </row>
    <row r="269" spans="1:5">
      <c r="A269" s="1">
        <f>IF(C269="","",COUNTA(C$4:C269))</f>
        <v>264</v>
      </c>
      <c r="B269" s="1" t="s">
        <v>522</v>
      </c>
      <c r="C269" s="1" t="s">
        <v>523</v>
      </c>
      <c r="E269">
        <f t="shared" si="4"/>
        <v>0</v>
      </c>
    </row>
    <row r="270" spans="1:5">
      <c r="A270" s="1">
        <f>IF(C270="","",COUNTA(C$4:C270))</f>
        <v>265</v>
      </c>
      <c r="B270" s="1" t="s">
        <v>524</v>
      </c>
      <c r="C270" s="1" t="s">
        <v>525</v>
      </c>
      <c r="E270">
        <f t="shared" si="4"/>
        <v>0</v>
      </c>
    </row>
    <row r="271" spans="1:5">
      <c r="A271" s="1">
        <f>IF(C271="","",COUNTA(C$4:C271))</f>
        <v>266</v>
      </c>
      <c r="B271" s="1" t="s">
        <v>526</v>
      </c>
      <c r="C271" s="1" t="s">
        <v>527</v>
      </c>
      <c r="E271">
        <f t="shared" si="4"/>
        <v>0</v>
      </c>
    </row>
    <row r="272" spans="1:5">
      <c r="A272" s="1">
        <f>IF(C272="","",COUNTA(C$4:C272))</f>
        <v>267</v>
      </c>
      <c r="B272" s="1" t="s">
        <v>528</v>
      </c>
      <c r="C272" s="1" t="s">
        <v>529</v>
      </c>
      <c r="E272">
        <f t="shared" si="4"/>
        <v>0</v>
      </c>
    </row>
    <row r="273" spans="1:5">
      <c r="A273" s="1">
        <f>IF(C273="","",COUNTA(C$4:C273))</f>
        <v>268</v>
      </c>
      <c r="B273" s="1" t="s">
        <v>530</v>
      </c>
      <c r="C273" s="1" t="s">
        <v>531</v>
      </c>
      <c r="E273">
        <f t="shared" si="4"/>
        <v>0</v>
      </c>
    </row>
    <row r="274" spans="1:5">
      <c r="A274" s="1">
        <f>IF(C274="","",COUNTA(C$4:C274))</f>
        <v>269</v>
      </c>
      <c r="B274" s="1" t="s">
        <v>532</v>
      </c>
      <c r="C274" s="1" t="s">
        <v>533</v>
      </c>
      <c r="E274">
        <f t="shared" si="4"/>
        <v>0</v>
      </c>
    </row>
    <row r="275" spans="1:5">
      <c r="A275" s="1">
        <f>IF(C275="","",COUNTA(C$4:C275))</f>
        <v>270</v>
      </c>
      <c r="B275" s="1" t="s">
        <v>534</v>
      </c>
      <c r="C275" s="1" t="s">
        <v>535</v>
      </c>
      <c r="E275">
        <f t="shared" si="4"/>
        <v>0</v>
      </c>
    </row>
    <row r="276" spans="1:5">
      <c r="A276" s="1">
        <f>IF(C276="","",COUNTA(C$4:C276))</f>
        <v>271</v>
      </c>
      <c r="B276" s="1" t="s">
        <v>536</v>
      </c>
      <c r="C276" s="1" t="s">
        <v>537</v>
      </c>
      <c r="E276">
        <f t="shared" si="4"/>
        <v>0</v>
      </c>
    </row>
    <row r="277" spans="1:5">
      <c r="A277" s="1">
        <f>IF(C277="","",COUNTA(C$4:C277))</f>
        <v>272</v>
      </c>
      <c r="B277" s="1" t="s">
        <v>538</v>
      </c>
      <c r="C277" s="1" t="s">
        <v>539</v>
      </c>
      <c r="E277">
        <f t="shared" si="4"/>
        <v>0</v>
      </c>
    </row>
    <row r="278" spans="1:5">
      <c r="A278" s="1">
        <f>IF(C278="","",COUNTA(C$4:C278))</f>
        <v>273</v>
      </c>
      <c r="B278" s="1" t="s">
        <v>540</v>
      </c>
      <c r="C278" s="1" t="s">
        <v>541</v>
      </c>
      <c r="E278">
        <f t="shared" si="4"/>
        <v>0</v>
      </c>
    </row>
    <row r="279" spans="1:5">
      <c r="A279" s="1">
        <f>IF(C279="","",COUNTA(C$4:C279))</f>
        <v>274</v>
      </c>
      <c r="B279" s="1" t="s">
        <v>542</v>
      </c>
      <c r="C279" s="1" t="s">
        <v>543</v>
      </c>
      <c r="E279">
        <f t="shared" si="4"/>
        <v>0</v>
      </c>
    </row>
    <row r="280" spans="1:5">
      <c r="A280" s="1">
        <f>IF(C280="","",COUNTA(C$4:C280))</f>
        <v>275</v>
      </c>
      <c r="B280" s="1" t="s">
        <v>544</v>
      </c>
      <c r="C280" s="1" t="s">
        <v>545</v>
      </c>
      <c r="E280">
        <f t="shared" si="4"/>
        <v>0</v>
      </c>
    </row>
    <row r="281" spans="1:5">
      <c r="A281" s="1">
        <f>IF(C281="","",COUNTA(C$4:C281))</f>
        <v>276</v>
      </c>
      <c r="B281" s="1" t="s">
        <v>546</v>
      </c>
      <c r="C281" s="1" t="s">
        <v>547</v>
      </c>
      <c r="E281">
        <f t="shared" si="4"/>
        <v>0</v>
      </c>
    </row>
    <row r="282" spans="1:5">
      <c r="A282" s="1">
        <f>IF(C282="","",COUNTA(C$4:C282))</f>
        <v>277</v>
      </c>
      <c r="B282" s="1" t="s">
        <v>548</v>
      </c>
      <c r="C282" s="1" t="s">
        <v>549</v>
      </c>
      <c r="E282">
        <f t="shared" si="4"/>
        <v>0</v>
      </c>
    </row>
    <row r="283" spans="1:5">
      <c r="A283" s="1">
        <f>IF(C283="","",COUNTA(C$4:C283))</f>
        <v>278</v>
      </c>
      <c r="B283" s="1" t="s">
        <v>550</v>
      </c>
      <c r="C283" s="1" t="s">
        <v>551</v>
      </c>
      <c r="E283">
        <f t="shared" si="4"/>
        <v>0</v>
      </c>
    </row>
    <row r="284" spans="1:5">
      <c r="A284" s="1">
        <f>IF(C284="","",COUNTA(C$4:C284))</f>
        <v>279</v>
      </c>
      <c r="B284" s="1" t="s">
        <v>552</v>
      </c>
      <c r="C284" s="1" t="s">
        <v>553</v>
      </c>
      <c r="E284">
        <f t="shared" si="4"/>
        <v>0</v>
      </c>
    </row>
    <row r="285" spans="1:5">
      <c r="A285" s="1">
        <f>IF(C285="","",COUNTA(C$4:C285))</f>
        <v>280</v>
      </c>
      <c r="B285" s="1" t="s">
        <v>554</v>
      </c>
      <c r="C285" s="1" t="s">
        <v>555</v>
      </c>
      <c r="E285">
        <f t="shared" si="4"/>
        <v>0</v>
      </c>
    </row>
    <row r="286" spans="1:5">
      <c r="A286" s="1">
        <f>IF(C286="","",COUNTA(C$4:C286))</f>
        <v>281</v>
      </c>
      <c r="B286" s="1" t="s">
        <v>556</v>
      </c>
      <c r="C286" s="1" t="s">
        <v>557</v>
      </c>
      <c r="E286">
        <f t="shared" si="4"/>
        <v>0</v>
      </c>
    </row>
    <row r="287" spans="1:5">
      <c r="A287" s="1">
        <f>IF(C287="","",COUNTA(C$4:C287))</f>
        <v>282</v>
      </c>
      <c r="B287" s="1" t="s">
        <v>558</v>
      </c>
      <c r="C287" s="1" t="s">
        <v>559</v>
      </c>
      <c r="E287">
        <f t="shared" si="4"/>
        <v>0</v>
      </c>
    </row>
    <row r="288" spans="1:5">
      <c r="A288" s="1">
        <f>IF(C288="","",COUNTA(C$4:C288))</f>
        <v>283</v>
      </c>
      <c r="B288" s="1" t="s">
        <v>560</v>
      </c>
      <c r="C288" s="1" t="s">
        <v>561</v>
      </c>
      <c r="E288">
        <f t="shared" si="4"/>
        <v>0</v>
      </c>
    </row>
    <row r="289" spans="1:5">
      <c r="A289" s="1">
        <f>IF(C289="","",COUNTA(C$4:C289))</f>
        <v>284</v>
      </c>
      <c r="B289" s="1" t="s">
        <v>562</v>
      </c>
      <c r="C289" s="1" t="s">
        <v>563</v>
      </c>
      <c r="E289">
        <f t="shared" si="4"/>
        <v>0</v>
      </c>
    </row>
    <row r="290" spans="1:5">
      <c r="A290" s="1">
        <f>IF(C290="","",COUNTA(C$4:C290))</f>
        <v>285</v>
      </c>
      <c r="B290" s="1" t="s">
        <v>564</v>
      </c>
      <c r="C290" s="1" t="s">
        <v>565</v>
      </c>
      <c r="E290">
        <f t="shared" si="4"/>
        <v>0</v>
      </c>
    </row>
    <row r="291" spans="1:5">
      <c r="A291" s="1">
        <f>IF(C291="","",COUNTA(C$4:C291))</f>
        <v>286</v>
      </c>
      <c r="B291" s="1" t="s">
        <v>566</v>
      </c>
      <c r="C291" s="1" t="s">
        <v>567</v>
      </c>
      <c r="E291">
        <f t="shared" si="4"/>
        <v>0</v>
      </c>
    </row>
    <row r="292" spans="1:5">
      <c r="A292" s="1">
        <f>IF(C292="","",COUNTA(C$4:C292))</f>
        <v>287</v>
      </c>
      <c r="B292" s="1" t="s">
        <v>568</v>
      </c>
      <c r="C292" s="1" t="s">
        <v>569</v>
      </c>
      <c r="E292">
        <f t="shared" si="4"/>
        <v>0</v>
      </c>
    </row>
    <row r="293" spans="1:5">
      <c r="A293" s="1">
        <f>IF(C293="","",COUNTA(C$4:C293))</f>
        <v>288</v>
      </c>
      <c r="B293" s="1" t="s">
        <v>570</v>
      </c>
      <c r="C293" s="1" t="s">
        <v>571</v>
      </c>
      <c r="E293">
        <f t="shared" si="4"/>
        <v>0</v>
      </c>
    </row>
    <row r="294" spans="1:5">
      <c r="A294" s="1">
        <f>IF(C294="","",COUNTA(C$4:C294))</f>
        <v>289</v>
      </c>
      <c r="B294" s="1" t="s">
        <v>572</v>
      </c>
      <c r="C294" s="1" t="s">
        <v>573</v>
      </c>
      <c r="E294">
        <f t="shared" si="4"/>
        <v>0</v>
      </c>
    </row>
    <row r="295" spans="1:5">
      <c r="A295" s="1">
        <f>IF(C295="","",COUNTA(C$4:C295))</f>
        <v>290</v>
      </c>
      <c r="B295" s="1" t="s">
        <v>574</v>
      </c>
      <c r="C295" s="1" t="s">
        <v>575</v>
      </c>
      <c r="E295">
        <f t="shared" si="4"/>
        <v>0</v>
      </c>
    </row>
    <row r="296" spans="1:5">
      <c r="A296" s="1">
        <f>IF(C296="","",COUNTA(C$4:C296))</f>
        <v>291</v>
      </c>
      <c r="B296" s="1" t="s">
        <v>572</v>
      </c>
      <c r="C296" s="1" t="s">
        <v>576</v>
      </c>
      <c r="E296">
        <f t="shared" si="4"/>
        <v>0</v>
      </c>
    </row>
    <row r="297" spans="1:5">
      <c r="A297" s="1">
        <f>IF(C297="","",COUNTA(C$4:C297))</f>
        <v>292</v>
      </c>
      <c r="B297" s="1" t="s">
        <v>577</v>
      </c>
      <c r="C297" s="1" t="s">
        <v>578</v>
      </c>
      <c r="E297">
        <f t="shared" si="4"/>
        <v>0</v>
      </c>
    </row>
    <row r="298" spans="1:5">
      <c r="A298" s="1">
        <f>IF(C298="","",COUNTA(C$4:C298))</f>
        <v>293</v>
      </c>
      <c r="B298" s="1" t="s">
        <v>579</v>
      </c>
      <c r="C298" s="1" t="s">
        <v>580</v>
      </c>
      <c r="E298">
        <f t="shared" si="4"/>
        <v>0</v>
      </c>
    </row>
    <row r="299" spans="1:5">
      <c r="A299" s="1">
        <f>IF(C299="","",COUNTA(C$4:C299))</f>
        <v>294</v>
      </c>
      <c r="B299" s="1" t="s">
        <v>581</v>
      </c>
      <c r="C299" s="1" t="s">
        <v>582</v>
      </c>
      <c r="E299">
        <f t="shared" si="4"/>
        <v>0</v>
      </c>
    </row>
    <row r="300" spans="1:5">
      <c r="A300" s="1">
        <f>IF(C300="","",COUNTA(C$4:C300))</f>
        <v>295</v>
      </c>
      <c r="B300" s="1" t="s">
        <v>583</v>
      </c>
      <c r="C300" s="1" t="s">
        <v>584</v>
      </c>
      <c r="E300">
        <f t="shared" si="4"/>
        <v>0</v>
      </c>
    </row>
    <row r="301" spans="1:5">
      <c r="A301" s="1">
        <f>IF(C301="","",COUNTA(C$4:C301))</f>
        <v>296</v>
      </c>
      <c r="B301" s="1" t="s">
        <v>585</v>
      </c>
      <c r="C301" s="1" t="s">
        <v>586</v>
      </c>
      <c r="E301">
        <f t="shared" si="4"/>
        <v>0</v>
      </c>
    </row>
    <row r="302" spans="1:5">
      <c r="A302" s="1">
        <f>IF(C302="","",COUNTA(C$4:C302))</f>
        <v>297</v>
      </c>
      <c r="B302" s="1" t="s">
        <v>587</v>
      </c>
      <c r="C302" s="1" t="s">
        <v>588</v>
      </c>
      <c r="E302">
        <f t="shared" si="4"/>
        <v>0</v>
      </c>
    </row>
    <row r="303" spans="1:5">
      <c r="A303" s="1">
        <f>IF(C303="","",COUNTA(C$4:C303))</f>
        <v>298</v>
      </c>
      <c r="B303" s="1" t="s">
        <v>589</v>
      </c>
      <c r="C303" s="1" t="s">
        <v>590</v>
      </c>
      <c r="E303">
        <f t="shared" si="4"/>
        <v>0</v>
      </c>
    </row>
    <row r="304" spans="1:5">
      <c r="A304" s="1">
        <f>IF(C304="","",COUNTA(C$4:C304))</f>
        <v>299</v>
      </c>
      <c r="B304" s="1" t="s">
        <v>591</v>
      </c>
      <c r="C304" s="1" t="s">
        <v>592</v>
      </c>
      <c r="E304">
        <f t="shared" si="4"/>
        <v>0</v>
      </c>
    </row>
    <row r="305" spans="1:5">
      <c r="A305" s="1">
        <f>IF(C305="","",COUNTA(C$4:C305))</f>
        <v>300</v>
      </c>
      <c r="B305" s="1" t="s">
        <v>593</v>
      </c>
      <c r="C305" s="1" t="s">
        <v>594</v>
      </c>
      <c r="E305">
        <f t="shared" si="4"/>
        <v>0</v>
      </c>
    </row>
    <row r="306" spans="1:5">
      <c r="A306" s="1">
        <f>IF(C306="","",COUNTA(C$4:C306))</f>
        <v>301</v>
      </c>
      <c r="B306" s="1" t="s">
        <v>595</v>
      </c>
      <c r="C306" s="1" t="s">
        <v>596</v>
      </c>
      <c r="E306">
        <f t="shared" si="4"/>
        <v>0</v>
      </c>
    </row>
    <row r="307" spans="1:5">
      <c r="A307" s="1">
        <f>IF(C307="","",COUNTA(C$4:C307))</f>
        <v>302</v>
      </c>
      <c r="B307" s="1" t="s">
        <v>597</v>
      </c>
      <c r="C307" s="1" t="s">
        <v>598</v>
      </c>
      <c r="E307">
        <f t="shared" si="4"/>
        <v>0</v>
      </c>
    </row>
    <row r="308" spans="1:5">
      <c r="A308" s="1">
        <f>IF(C308="","",COUNTA(C$4:C308))</f>
        <v>303</v>
      </c>
      <c r="B308" s="1" t="s">
        <v>599</v>
      </c>
      <c r="C308" s="1" t="s">
        <v>600</v>
      </c>
      <c r="E308">
        <f t="shared" si="4"/>
        <v>0</v>
      </c>
    </row>
    <row r="309" spans="1:5">
      <c r="A309" s="1">
        <f>IF(C309="","",COUNTA(C$4:C309))</f>
        <v>304</v>
      </c>
      <c r="B309" s="1" t="s">
        <v>601</v>
      </c>
      <c r="C309" s="1" t="s">
        <v>602</v>
      </c>
      <c r="E309">
        <f t="shared" si="4"/>
        <v>0</v>
      </c>
    </row>
    <row r="310" spans="1:5">
      <c r="A310" s="1">
        <f>IF(C310="","",COUNTA(C$4:C310))</f>
        <v>305</v>
      </c>
      <c r="B310" s="1" t="s">
        <v>603</v>
      </c>
      <c r="C310" s="1" t="s">
        <v>604</v>
      </c>
      <c r="E310">
        <f t="shared" si="4"/>
        <v>0</v>
      </c>
    </row>
    <row r="311" spans="1:5">
      <c r="A311" s="1">
        <f>IF(C311="","",COUNTA(C$4:C311))</f>
        <v>306</v>
      </c>
      <c r="B311" s="1" t="s">
        <v>605</v>
      </c>
      <c r="C311" s="1" t="s">
        <v>606</v>
      </c>
      <c r="E311">
        <f t="shared" si="4"/>
        <v>0</v>
      </c>
    </row>
    <row r="312" spans="1:5">
      <c r="A312" s="1">
        <f>IF(C312="","",COUNTA(C$4:C312))</f>
        <v>307</v>
      </c>
      <c r="B312" s="1" t="s">
        <v>607</v>
      </c>
      <c r="C312" s="1" t="s">
        <v>608</v>
      </c>
      <c r="E312">
        <f t="shared" si="4"/>
        <v>0</v>
      </c>
    </row>
    <row r="313" spans="1:5">
      <c r="A313" s="1">
        <f>IF(C313="","",COUNTA(C$4:C313))</f>
        <v>308</v>
      </c>
      <c r="B313" s="1" t="s">
        <v>609</v>
      </c>
      <c r="C313" s="1" t="s">
        <v>610</v>
      </c>
      <c r="E313">
        <f t="shared" si="4"/>
        <v>0</v>
      </c>
    </row>
    <row r="314" spans="1:5">
      <c r="A314" s="1">
        <f>IF(C314="","",COUNTA(C$4:C314))</f>
        <v>309</v>
      </c>
      <c r="B314" s="1" t="s">
        <v>611</v>
      </c>
      <c r="C314" s="1" t="s">
        <v>612</v>
      </c>
      <c r="E314">
        <f t="shared" si="4"/>
        <v>0</v>
      </c>
    </row>
    <row r="315" spans="1:5">
      <c r="A315" s="1">
        <f>IF(C315="","",COUNTA(C$4:C315))</f>
        <v>310</v>
      </c>
      <c r="B315" s="1" t="s">
        <v>613</v>
      </c>
      <c r="C315" s="1" t="s">
        <v>614</v>
      </c>
      <c r="E315">
        <f t="shared" si="4"/>
        <v>0</v>
      </c>
    </row>
    <row r="316" spans="1:5">
      <c r="A316" s="1">
        <f>IF(C316="","",COUNTA(C$4:C316))</f>
        <v>311</v>
      </c>
      <c r="B316" s="1" t="s">
        <v>615</v>
      </c>
      <c r="C316" s="1" t="s">
        <v>616</v>
      </c>
      <c r="E316">
        <f t="shared" si="4"/>
        <v>0</v>
      </c>
    </row>
    <row r="317" spans="1:5">
      <c r="A317" s="1">
        <f>IF(C317="","",COUNTA(C$4:C317))</f>
        <v>312</v>
      </c>
      <c r="B317" s="1" t="s">
        <v>617</v>
      </c>
      <c r="C317" s="1" t="s">
        <v>618</v>
      </c>
      <c r="E317">
        <f t="shared" si="4"/>
        <v>0</v>
      </c>
    </row>
    <row r="318" spans="1:5">
      <c r="A318" s="1">
        <f>IF(C318="","",COUNTA(C$4:C318))</f>
        <v>313</v>
      </c>
      <c r="B318" s="1" t="s">
        <v>619</v>
      </c>
      <c r="C318" s="1" t="s">
        <v>620</v>
      </c>
      <c r="E318">
        <f t="shared" si="4"/>
        <v>0</v>
      </c>
    </row>
    <row r="319" spans="1:5">
      <c r="A319" s="1">
        <f>IF(C319="","",COUNTA(C$4:C319))</f>
        <v>314</v>
      </c>
      <c r="B319" s="1" t="s">
        <v>621</v>
      </c>
      <c r="C319" s="1" t="s">
        <v>622</v>
      </c>
      <c r="E319">
        <f t="shared" si="4"/>
        <v>0</v>
      </c>
    </row>
    <row r="320" spans="1:5">
      <c r="A320" s="1">
        <f>IF(C320="","",COUNTA(C$4:C320))</f>
        <v>315</v>
      </c>
      <c r="B320" s="1" t="s">
        <v>623</v>
      </c>
      <c r="C320" s="1" t="s">
        <v>624</v>
      </c>
      <c r="E320">
        <f t="shared" si="4"/>
        <v>0</v>
      </c>
    </row>
    <row r="321" spans="1:5">
      <c r="A321" s="1">
        <f>IF(C321="","",COUNTA(C$4:C321))</f>
        <v>316</v>
      </c>
      <c r="B321" s="1" t="s">
        <v>625</v>
      </c>
      <c r="C321" s="1" t="s">
        <v>626</v>
      </c>
      <c r="E321">
        <f t="shared" si="4"/>
        <v>0</v>
      </c>
    </row>
    <row r="322" spans="1:5">
      <c r="A322" s="1">
        <f>IF(C322="","",COUNTA(C$4:C322))</f>
        <v>317</v>
      </c>
      <c r="B322" s="1" t="s">
        <v>627</v>
      </c>
      <c r="C322" s="1" t="s">
        <v>628</v>
      </c>
      <c r="E322">
        <f t="shared" si="4"/>
        <v>0</v>
      </c>
    </row>
    <row r="323" spans="1:5">
      <c r="A323" s="1">
        <f>IF(C323="","",COUNTA(C$4:C323))</f>
        <v>318</v>
      </c>
      <c r="B323" s="1" t="s">
        <v>629</v>
      </c>
      <c r="C323" s="1" t="s">
        <v>630</v>
      </c>
      <c r="E323">
        <f t="shared" si="4"/>
        <v>0</v>
      </c>
    </row>
    <row r="324" spans="1:5">
      <c r="A324" s="1">
        <f>IF(C324="","",COUNTA(C$4:C324))</f>
        <v>319</v>
      </c>
      <c r="B324" s="1" t="s">
        <v>631</v>
      </c>
      <c r="C324" s="1" t="s">
        <v>632</v>
      </c>
      <c r="E324">
        <f t="shared" si="4"/>
        <v>0</v>
      </c>
    </row>
    <row r="325" spans="1:5">
      <c r="A325" s="1">
        <f>IF(C325="","",COUNTA(C$4:C325))</f>
        <v>320</v>
      </c>
      <c r="B325" s="1" t="s">
        <v>633</v>
      </c>
      <c r="C325" s="1" t="s">
        <v>634</v>
      </c>
      <c r="E325">
        <f t="shared" ref="E325:E388" si="5">IF(C325=D325,1,0)</f>
        <v>0</v>
      </c>
    </row>
    <row r="326" spans="1:5">
      <c r="A326" s="1">
        <f>IF(C326="","",COUNTA(C$4:C326))</f>
        <v>321</v>
      </c>
      <c r="B326" s="1" t="s">
        <v>556</v>
      </c>
      <c r="C326" s="1" t="s">
        <v>635</v>
      </c>
      <c r="E326">
        <f t="shared" si="5"/>
        <v>0</v>
      </c>
    </row>
    <row r="327" spans="1:5">
      <c r="A327" s="1">
        <f>IF(C327="","",COUNTA(C$4:C327))</f>
        <v>322</v>
      </c>
      <c r="B327" s="1" t="s">
        <v>636</v>
      </c>
      <c r="C327" s="1" t="s">
        <v>637</v>
      </c>
      <c r="E327">
        <f t="shared" si="5"/>
        <v>0</v>
      </c>
    </row>
    <row r="328" spans="1:5">
      <c r="A328" s="1">
        <f>IF(C328="","",COUNTA(C$4:C328))</f>
        <v>323</v>
      </c>
      <c r="B328" s="1" t="s">
        <v>638</v>
      </c>
      <c r="C328" s="1" t="s">
        <v>639</v>
      </c>
      <c r="E328">
        <f t="shared" si="5"/>
        <v>0</v>
      </c>
    </row>
    <row r="329" spans="1:5">
      <c r="A329" s="1">
        <f>IF(C329="","",COUNTA(C$4:C329))</f>
        <v>324</v>
      </c>
      <c r="B329" s="1" t="s">
        <v>640</v>
      </c>
      <c r="C329" s="1" t="s">
        <v>641</v>
      </c>
      <c r="E329">
        <f t="shared" si="5"/>
        <v>0</v>
      </c>
    </row>
    <row r="330" spans="1:5">
      <c r="A330" s="1">
        <f>IF(C330="","",COUNTA(C$4:C330))</f>
        <v>325</v>
      </c>
      <c r="B330" s="1" t="s">
        <v>642</v>
      </c>
      <c r="C330" s="1" t="s">
        <v>643</v>
      </c>
      <c r="E330">
        <f t="shared" si="5"/>
        <v>0</v>
      </c>
    </row>
    <row r="331" spans="1:5">
      <c r="A331" s="1">
        <f>IF(C331="","",COUNTA(C$4:C331))</f>
        <v>326</v>
      </c>
      <c r="B331" s="1" t="s">
        <v>644</v>
      </c>
      <c r="C331" s="1" t="s">
        <v>645</v>
      </c>
      <c r="E331">
        <f t="shared" si="5"/>
        <v>0</v>
      </c>
    </row>
    <row r="332" spans="1:5">
      <c r="A332" s="1">
        <f>IF(C332="","",COUNTA(C$4:C332))</f>
        <v>327</v>
      </c>
      <c r="B332" s="1" t="s">
        <v>646</v>
      </c>
      <c r="C332" s="1" t="s">
        <v>647</v>
      </c>
      <c r="E332">
        <f t="shared" si="5"/>
        <v>0</v>
      </c>
    </row>
    <row r="333" spans="1:5">
      <c r="A333" s="1">
        <f>IF(C333="","",COUNTA(C$4:C333))</f>
        <v>328</v>
      </c>
      <c r="B333" s="1" t="s">
        <v>648</v>
      </c>
      <c r="C333" s="1" t="s">
        <v>649</v>
      </c>
      <c r="E333">
        <f t="shared" si="5"/>
        <v>0</v>
      </c>
    </row>
    <row r="334" spans="1:5">
      <c r="A334" s="1">
        <f>IF(C334="","",COUNTA(C$4:C334))</f>
        <v>329</v>
      </c>
      <c r="B334" s="1" t="s">
        <v>650</v>
      </c>
      <c r="C334" s="1" t="s">
        <v>651</v>
      </c>
      <c r="E334">
        <f t="shared" si="5"/>
        <v>0</v>
      </c>
    </row>
    <row r="335" spans="1:5">
      <c r="A335" s="1">
        <f>IF(C335="","",COUNTA(C$4:C335))</f>
        <v>330</v>
      </c>
      <c r="B335" s="1" t="s">
        <v>652</v>
      </c>
      <c r="C335" s="1" t="s">
        <v>653</v>
      </c>
      <c r="E335">
        <f t="shared" si="5"/>
        <v>0</v>
      </c>
    </row>
    <row r="336" spans="1:5">
      <c r="A336" s="1">
        <f>IF(C336="","",COUNTA(C$4:C336))</f>
        <v>331</v>
      </c>
      <c r="B336" s="1" t="s">
        <v>654</v>
      </c>
      <c r="C336" s="1" t="s">
        <v>655</v>
      </c>
      <c r="E336">
        <f t="shared" si="5"/>
        <v>0</v>
      </c>
    </row>
    <row r="337" spans="1:5">
      <c r="A337" s="1">
        <f>IF(C337="","",COUNTA(C$4:C337))</f>
        <v>332</v>
      </c>
      <c r="B337" s="1" t="s">
        <v>656</v>
      </c>
      <c r="C337" s="1" t="s">
        <v>657</v>
      </c>
      <c r="E337">
        <f t="shared" si="5"/>
        <v>0</v>
      </c>
    </row>
    <row r="338" spans="1:5">
      <c r="A338" s="1">
        <f>IF(C338="","",COUNTA(C$4:C338))</f>
        <v>333</v>
      </c>
      <c r="B338" s="1" t="s">
        <v>658</v>
      </c>
      <c r="C338" s="1" t="s">
        <v>659</v>
      </c>
      <c r="E338">
        <f t="shared" si="5"/>
        <v>0</v>
      </c>
    </row>
    <row r="339" spans="1:5">
      <c r="A339" s="1">
        <f>IF(C339="","",COUNTA(C$4:C339))</f>
        <v>334</v>
      </c>
      <c r="B339" s="1" t="s">
        <v>660</v>
      </c>
      <c r="C339" s="1" t="s">
        <v>661</v>
      </c>
      <c r="E339">
        <f t="shared" si="5"/>
        <v>0</v>
      </c>
    </row>
    <row r="340" spans="1:5">
      <c r="A340" s="1">
        <f>IF(C340="","",COUNTA(C$4:C340))</f>
        <v>335</v>
      </c>
      <c r="B340" s="1" t="s">
        <v>662</v>
      </c>
      <c r="C340" s="1" t="s">
        <v>663</v>
      </c>
      <c r="E340">
        <f t="shared" si="5"/>
        <v>0</v>
      </c>
    </row>
    <row r="341" spans="1:5">
      <c r="A341" s="1">
        <f>IF(C341="","",COUNTA(C$4:C341))</f>
        <v>336</v>
      </c>
      <c r="B341" s="1" t="s">
        <v>664</v>
      </c>
      <c r="C341" s="1" t="s">
        <v>665</v>
      </c>
      <c r="E341">
        <f t="shared" si="5"/>
        <v>0</v>
      </c>
    </row>
    <row r="342" spans="1:5">
      <c r="A342" s="1">
        <f>IF(C342="","",COUNTA(C$4:C342))</f>
        <v>337</v>
      </c>
      <c r="B342" s="1" t="s">
        <v>666</v>
      </c>
      <c r="C342" s="1" t="s">
        <v>667</v>
      </c>
      <c r="E342">
        <f t="shared" si="5"/>
        <v>0</v>
      </c>
    </row>
    <row r="343" spans="1:5">
      <c r="A343" s="1">
        <f>IF(C343="","",COUNTA(C$4:C343))</f>
        <v>338</v>
      </c>
      <c r="B343" s="1" t="s">
        <v>668</v>
      </c>
      <c r="C343" s="1" t="s">
        <v>669</v>
      </c>
      <c r="E343">
        <f t="shared" si="5"/>
        <v>0</v>
      </c>
    </row>
    <row r="344" spans="1:5">
      <c r="A344" s="1">
        <f>IF(C344="","",COUNTA(C$4:C344))</f>
        <v>339</v>
      </c>
      <c r="B344" s="1" t="s">
        <v>670</v>
      </c>
      <c r="C344" s="1" t="s">
        <v>671</v>
      </c>
      <c r="E344">
        <f t="shared" si="5"/>
        <v>0</v>
      </c>
    </row>
    <row r="345" spans="1:5">
      <c r="A345" s="1">
        <f>IF(C345="","",COUNTA(C$4:C345))</f>
        <v>340</v>
      </c>
      <c r="B345" s="1" t="s">
        <v>672</v>
      </c>
      <c r="C345" s="1" t="s">
        <v>673</v>
      </c>
      <c r="E345">
        <f t="shared" si="5"/>
        <v>0</v>
      </c>
    </row>
    <row r="346" spans="1:5">
      <c r="A346" s="1">
        <f>IF(C346="","",COUNTA(C$4:C346))</f>
        <v>341</v>
      </c>
      <c r="B346" s="1" t="s">
        <v>674</v>
      </c>
      <c r="C346" s="1" t="s">
        <v>675</v>
      </c>
      <c r="E346">
        <f t="shared" si="5"/>
        <v>0</v>
      </c>
    </row>
    <row r="347" spans="1:5">
      <c r="A347" s="1">
        <f>IF(C347="","",COUNTA(C$4:C347))</f>
        <v>342</v>
      </c>
      <c r="B347" s="1" t="s">
        <v>676</v>
      </c>
      <c r="C347" s="1" t="s">
        <v>677</v>
      </c>
      <c r="E347">
        <f t="shared" si="5"/>
        <v>0</v>
      </c>
    </row>
    <row r="348" spans="1:5">
      <c r="A348" s="1">
        <f>IF(C348="","",COUNTA(C$4:C348))</f>
        <v>343</v>
      </c>
      <c r="B348" s="1" t="s">
        <v>678</v>
      </c>
      <c r="C348" s="1" t="s">
        <v>679</v>
      </c>
      <c r="E348">
        <f t="shared" si="5"/>
        <v>0</v>
      </c>
    </row>
    <row r="349" spans="1:5">
      <c r="A349" s="1">
        <f>IF(C349="","",COUNTA(C$4:C349))</f>
        <v>344</v>
      </c>
      <c r="B349" s="1" t="s">
        <v>680</v>
      </c>
      <c r="C349" s="1" t="s">
        <v>681</v>
      </c>
      <c r="E349">
        <f t="shared" si="5"/>
        <v>0</v>
      </c>
    </row>
    <row r="350" spans="1:5">
      <c r="A350" s="1">
        <f>IF(C350="","",COUNTA(C$4:C350))</f>
        <v>345</v>
      </c>
      <c r="B350" s="1" t="s">
        <v>682</v>
      </c>
      <c r="C350" s="1" t="s">
        <v>683</v>
      </c>
      <c r="E350">
        <f t="shared" si="5"/>
        <v>0</v>
      </c>
    </row>
    <row r="351" spans="1:5">
      <c r="A351" s="1">
        <f>IF(C351="","",COUNTA(C$4:C351))</f>
        <v>346</v>
      </c>
      <c r="B351" s="1" t="s">
        <v>684</v>
      </c>
      <c r="C351" s="1" t="s">
        <v>685</v>
      </c>
      <c r="E351">
        <f t="shared" si="5"/>
        <v>0</v>
      </c>
    </row>
    <row r="352" spans="1:5">
      <c r="A352" s="1">
        <f>IF(C352="","",COUNTA(C$4:C352))</f>
        <v>347</v>
      </c>
      <c r="B352" s="1" t="s">
        <v>686</v>
      </c>
      <c r="C352" s="1" t="s">
        <v>687</v>
      </c>
      <c r="E352">
        <f t="shared" si="5"/>
        <v>0</v>
      </c>
    </row>
    <row r="353" spans="1:5">
      <c r="A353" s="1">
        <f>IF(C353="","",COUNTA(C$4:C353))</f>
        <v>348</v>
      </c>
      <c r="B353" s="1" t="s">
        <v>688</v>
      </c>
      <c r="C353" s="1" t="s">
        <v>689</v>
      </c>
      <c r="E353">
        <f t="shared" si="5"/>
        <v>0</v>
      </c>
    </row>
    <row r="354" spans="1:5">
      <c r="A354" s="1">
        <f>IF(C354="","",COUNTA(C$4:C354))</f>
        <v>349</v>
      </c>
      <c r="B354" s="1" t="s">
        <v>690</v>
      </c>
      <c r="C354" s="1" t="s">
        <v>691</v>
      </c>
      <c r="E354">
        <f t="shared" si="5"/>
        <v>0</v>
      </c>
    </row>
    <row r="355" spans="1:5">
      <c r="A355" s="1">
        <f>IF(C355="","",COUNTA(C$4:C355))</f>
        <v>350</v>
      </c>
      <c r="B355" s="1" t="s">
        <v>692</v>
      </c>
      <c r="C355" s="1" t="s">
        <v>693</v>
      </c>
      <c r="E355">
        <f t="shared" si="5"/>
        <v>0</v>
      </c>
    </row>
    <row r="356" spans="1:5">
      <c r="A356" s="1">
        <f>IF(C356="","",COUNTA(C$4:C356))</f>
        <v>351</v>
      </c>
      <c r="B356" s="1" t="s">
        <v>694</v>
      </c>
      <c r="C356" s="1" t="s">
        <v>695</v>
      </c>
      <c r="E356">
        <f t="shared" si="5"/>
        <v>0</v>
      </c>
    </row>
    <row r="357" spans="1:5">
      <c r="A357" s="1">
        <f>IF(C357="","",COUNTA(C$4:C357))</f>
        <v>352</v>
      </c>
      <c r="B357" s="1" t="s">
        <v>696</v>
      </c>
      <c r="C357" s="1" t="s">
        <v>697</v>
      </c>
      <c r="E357">
        <f t="shared" si="5"/>
        <v>0</v>
      </c>
    </row>
    <row r="358" spans="1:5">
      <c r="A358" s="1">
        <f>IF(C358="","",COUNTA(C$4:C358))</f>
        <v>353</v>
      </c>
      <c r="B358" s="1" t="s">
        <v>698</v>
      </c>
      <c r="C358" s="1" t="s">
        <v>699</v>
      </c>
      <c r="E358">
        <f t="shared" si="5"/>
        <v>0</v>
      </c>
    </row>
    <row r="359" spans="1:5">
      <c r="A359" s="1">
        <f>IF(C359="","",COUNTA(C$4:C359))</f>
        <v>354</v>
      </c>
      <c r="B359" s="1" t="s">
        <v>700</v>
      </c>
      <c r="C359" s="1" t="s">
        <v>701</v>
      </c>
      <c r="E359">
        <f t="shared" si="5"/>
        <v>0</v>
      </c>
    </row>
    <row r="360" spans="1:5">
      <c r="A360" s="1">
        <f>IF(C360="","",COUNTA(C$4:C360))</f>
        <v>355</v>
      </c>
      <c r="B360" s="1" t="s">
        <v>702</v>
      </c>
      <c r="C360" s="1" t="s">
        <v>703</v>
      </c>
      <c r="E360">
        <f t="shared" si="5"/>
        <v>0</v>
      </c>
    </row>
    <row r="361" spans="1:5">
      <c r="A361" s="1">
        <f>IF(C361="","",COUNTA(C$4:C361))</f>
        <v>356</v>
      </c>
      <c r="B361" s="1" t="s">
        <v>702</v>
      </c>
      <c r="C361" s="1" t="s">
        <v>704</v>
      </c>
      <c r="E361">
        <f t="shared" si="5"/>
        <v>0</v>
      </c>
    </row>
    <row r="362" spans="1:5">
      <c r="A362" s="1">
        <f>IF(C362="","",COUNTA(C$4:C362))</f>
        <v>357</v>
      </c>
      <c r="B362" s="1" t="s">
        <v>705</v>
      </c>
      <c r="C362" s="1" t="s">
        <v>706</v>
      </c>
      <c r="E362">
        <f t="shared" si="5"/>
        <v>0</v>
      </c>
    </row>
    <row r="363" spans="1:5">
      <c r="A363" s="1">
        <f>IF(C363="","",COUNTA(C$4:C363))</f>
        <v>358</v>
      </c>
      <c r="B363" s="1" t="s">
        <v>707</v>
      </c>
      <c r="C363" s="1" t="s">
        <v>708</v>
      </c>
      <c r="E363">
        <f t="shared" si="5"/>
        <v>0</v>
      </c>
    </row>
    <row r="364" spans="1:5">
      <c r="A364" s="1">
        <f>IF(C364="","",COUNTA(C$4:C364))</f>
        <v>359</v>
      </c>
      <c r="B364" s="1" t="s">
        <v>709</v>
      </c>
      <c r="C364" s="1" t="s">
        <v>710</v>
      </c>
      <c r="E364">
        <f t="shared" si="5"/>
        <v>0</v>
      </c>
    </row>
    <row r="365" spans="1:5">
      <c r="A365" s="1">
        <f>IF(C365="","",COUNTA(C$4:C365))</f>
        <v>360</v>
      </c>
      <c r="B365" s="1" t="s">
        <v>711</v>
      </c>
      <c r="C365" s="1" t="s">
        <v>712</v>
      </c>
      <c r="E365">
        <f t="shared" si="5"/>
        <v>0</v>
      </c>
    </row>
    <row r="366" spans="1:5">
      <c r="A366" s="1">
        <f>IF(C366="","",COUNTA(C$4:C366))</f>
        <v>361</v>
      </c>
      <c r="B366" s="1" t="s">
        <v>713</v>
      </c>
      <c r="C366" s="1" t="s">
        <v>714</v>
      </c>
      <c r="E366">
        <f t="shared" si="5"/>
        <v>0</v>
      </c>
    </row>
    <row r="367" spans="1:5">
      <c r="A367" s="1">
        <f>IF(C367="","",COUNTA(C$4:C367))</f>
        <v>362</v>
      </c>
      <c r="B367" s="1" t="s">
        <v>182</v>
      </c>
      <c r="C367" s="1" t="s">
        <v>715</v>
      </c>
      <c r="E367">
        <f t="shared" si="5"/>
        <v>0</v>
      </c>
    </row>
    <row r="368" spans="1:5">
      <c r="A368" s="1">
        <f>IF(C368="","",COUNTA(C$4:C368))</f>
        <v>363</v>
      </c>
      <c r="B368" s="1" t="s">
        <v>716</v>
      </c>
      <c r="C368" s="1" t="s">
        <v>717</v>
      </c>
      <c r="E368">
        <f t="shared" si="5"/>
        <v>0</v>
      </c>
    </row>
    <row r="369" spans="1:5">
      <c r="A369" s="1">
        <f>IF(C369="","",COUNTA(C$4:C369))</f>
        <v>364</v>
      </c>
      <c r="B369" s="1" t="s">
        <v>718</v>
      </c>
      <c r="C369" s="1" t="s">
        <v>719</v>
      </c>
      <c r="E369">
        <f t="shared" si="5"/>
        <v>0</v>
      </c>
    </row>
    <row r="370" spans="1:5">
      <c r="A370" s="1">
        <f>IF(C370="","",COUNTA(C$4:C370))</f>
        <v>365</v>
      </c>
      <c r="B370" s="1" t="s">
        <v>720</v>
      </c>
      <c r="C370" s="1" t="s">
        <v>721</v>
      </c>
      <c r="E370">
        <f t="shared" si="5"/>
        <v>0</v>
      </c>
    </row>
    <row r="371" spans="1:5">
      <c r="A371" s="1">
        <f>IF(C371="","",COUNTA(C$4:C371))</f>
        <v>366</v>
      </c>
      <c r="B371" s="1" t="s">
        <v>722</v>
      </c>
      <c r="C371" s="1" t="s">
        <v>723</v>
      </c>
      <c r="E371">
        <f t="shared" si="5"/>
        <v>0</v>
      </c>
    </row>
    <row r="372" spans="1:5">
      <c r="A372" s="1">
        <f>IF(C372="","",COUNTA(C$4:C372))</f>
        <v>367</v>
      </c>
      <c r="B372" s="1" t="s">
        <v>648</v>
      </c>
      <c r="C372" s="1" t="s">
        <v>724</v>
      </c>
      <c r="E372">
        <f t="shared" si="5"/>
        <v>0</v>
      </c>
    </row>
    <row r="373" spans="1:5">
      <c r="A373" s="1">
        <f>IF(C373="","",COUNTA(C$4:C373))</f>
        <v>368</v>
      </c>
      <c r="B373" s="1" t="s">
        <v>725</v>
      </c>
      <c r="C373" s="1" t="s">
        <v>726</v>
      </c>
      <c r="E373">
        <f t="shared" si="5"/>
        <v>0</v>
      </c>
    </row>
    <row r="374" spans="1:5">
      <c r="A374" s="12" t="s">
        <v>727</v>
      </c>
      <c r="B374" s="13"/>
      <c r="C374" s="14"/>
      <c r="D374" s="9"/>
      <c r="E374">
        <f t="shared" si="5"/>
        <v>1</v>
      </c>
    </row>
    <row r="375" spans="1:5">
      <c r="A375" s="1">
        <f>IF(C375="","",COUNTA(C$4:C375))</f>
        <v>369</v>
      </c>
      <c r="B375" s="1" t="s">
        <v>728</v>
      </c>
      <c r="C375" s="1" t="s">
        <v>729</v>
      </c>
      <c r="E375">
        <f t="shared" si="5"/>
        <v>0</v>
      </c>
    </row>
    <row r="376" spans="1:5">
      <c r="A376" s="1">
        <f>IF(C376="","",COUNTA(C$4:C376))</f>
        <v>370</v>
      </c>
      <c r="B376" s="1" t="s">
        <v>730</v>
      </c>
      <c r="C376" s="1" t="s">
        <v>731</v>
      </c>
      <c r="E376">
        <f t="shared" si="5"/>
        <v>0</v>
      </c>
    </row>
    <row r="377" spans="1:5">
      <c r="A377" s="1">
        <f>IF(C377="","",COUNTA(C$4:C377))</f>
        <v>371</v>
      </c>
      <c r="B377" s="1" t="s">
        <v>732</v>
      </c>
      <c r="C377" s="1" t="s">
        <v>733</v>
      </c>
      <c r="E377">
        <f t="shared" si="5"/>
        <v>0</v>
      </c>
    </row>
    <row r="378" spans="1:5">
      <c r="A378" s="1">
        <f>IF(C378="","",COUNTA(C$4:C378))</f>
        <v>372</v>
      </c>
      <c r="B378" s="1" t="s">
        <v>734</v>
      </c>
      <c r="C378" s="1" t="s">
        <v>735</v>
      </c>
      <c r="E378">
        <f t="shared" si="5"/>
        <v>0</v>
      </c>
    </row>
    <row r="379" spans="1:5">
      <c r="A379" s="1">
        <f>IF(C379="","",COUNTA(C$4:C379))</f>
        <v>373</v>
      </c>
      <c r="B379" s="1" t="s">
        <v>736</v>
      </c>
      <c r="C379" s="1" t="s">
        <v>737</v>
      </c>
      <c r="E379">
        <f t="shared" si="5"/>
        <v>0</v>
      </c>
    </row>
    <row r="380" spans="1:5">
      <c r="A380" s="1">
        <f>IF(C380="","",COUNTA(C$4:C380))</f>
        <v>374</v>
      </c>
      <c r="B380" s="1" t="s">
        <v>738</v>
      </c>
      <c r="C380" s="1" t="s">
        <v>739</v>
      </c>
      <c r="E380">
        <f t="shared" si="5"/>
        <v>0</v>
      </c>
    </row>
    <row r="381" spans="1:5">
      <c r="A381" s="1">
        <f>IF(C381="","",COUNTA(C$4:C381))</f>
        <v>375</v>
      </c>
      <c r="B381" s="1" t="s">
        <v>740</v>
      </c>
      <c r="C381" s="1" t="s">
        <v>741</v>
      </c>
      <c r="E381">
        <f t="shared" si="5"/>
        <v>0</v>
      </c>
    </row>
    <row r="382" spans="1:5">
      <c r="A382" s="1">
        <f>IF(C382="","",COUNTA(C$4:C382))</f>
        <v>376</v>
      </c>
      <c r="B382" s="1" t="s">
        <v>33</v>
      </c>
      <c r="C382" s="1" t="s">
        <v>742</v>
      </c>
      <c r="E382">
        <f t="shared" si="5"/>
        <v>0</v>
      </c>
    </row>
    <row r="383" spans="1:5">
      <c r="A383" s="1">
        <f>IF(C383="","",COUNTA(C$4:C383))</f>
        <v>377</v>
      </c>
      <c r="B383" s="1" t="s">
        <v>743</v>
      </c>
      <c r="C383" s="1" t="s">
        <v>744</v>
      </c>
      <c r="E383">
        <f t="shared" si="5"/>
        <v>0</v>
      </c>
    </row>
    <row r="384" spans="1:5">
      <c r="A384" s="1">
        <f>IF(C384="","",COUNTA(C$4:C384))</f>
        <v>378</v>
      </c>
      <c r="B384" s="1" t="s">
        <v>745</v>
      </c>
      <c r="C384" s="1" t="s">
        <v>746</v>
      </c>
      <c r="E384">
        <f t="shared" si="5"/>
        <v>0</v>
      </c>
    </row>
    <row r="385" spans="1:5">
      <c r="A385" s="1">
        <f>IF(C385="","",COUNTA(C$4:C385))</f>
        <v>379</v>
      </c>
      <c r="B385" s="1" t="s">
        <v>747</v>
      </c>
      <c r="C385" s="1" t="s">
        <v>748</v>
      </c>
      <c r="E385">
        <f t="shared" si="5"/>
        <v>0</v>
      </c>
    </row>
    <row r="386" spans="1:5">
      <c r="A386" s="1">
        <f>IF(C386="","",COUNTA(C$4:C386))</f>
        <v>380</v>
      </c>
      <c r="B386" s="1" t="s">
        <v>749</v>
      </c>
      <c r="C386" s="1" t="s">
        <v>750</v>
      </c>
      <c r="E386">
        <f t="shared" si="5"/>
        <v>0</v>
      </c>
    </row>
    <row r="387" spans="1:5">
      <c r="A387" s="1">
        <f>IF(C387="","",COUNTA(C$4:C387))</f>
        <v>381</v>
      </c>
      <c r="B387" s="1" t="s">
        <v>751</v>
      </c>
      <c r="C387" s="1" t="s">
        <v>752</v>
      </c>
      <c r="E387">
        <f t="shared" si="5"/>
        <v>0</v>
      </c>
    </row>
    <row r="388" spans="1:5">
      <c r="A388" s="1">
        <f>IF(C388="","",COUNTA(C$4:C388))</f>
        <v>382</v>
      </c>
      <c r="B388" s="1" t="s">
        <v>753</v>
      </c>
      <c r="C388" s="1" t="s">
        <v>754</v>
      </c>
      <c r="E388">
        <f t="shared" si="5"/>
        <v>0</v>
      </c>
    </row>
    <row r="389" spans="1:5">
      <c r="A389" s="1">
        <f>IF(C389="","",COUNTA(C$4:C389))</f>
        <v>383</v>
      </c>
      <c r="B389" s="1" t="s">
        <v>755</v>
      </c>
      <c r="C389" s="1" t="s">
        <v>756</v>
      </c>
      <c r="E389">
        <f t="shared" ref="E389:E452" si="6">IF(C389=D389,1,0)</f>
        <v>0</v>
      </c>
    </row>
    <row r="390" spans="1:5">
      <c r="A390" s="1">
        <f>IF(C390="","",COUNTA(C$4:C390))</f>
        <v>384</v>
      </c>
      <c r="B390" s="1" t="s">
        <v>757</v>
      </c>
      <c r="C390" s="1" t="s">
        <v>758</v>
      </c>
      <c r="E390">
        <f t="shared" si="6"/>
        <v>0</v>
      </c>
    </row>
    <row r="391" spans="1:5">
      <c r="A391" s="1">
        <f>IF(C391="","",COUNTA(C$4:C391))</f>
        <v>385</v>
      </c>
      <c r="B391" s="1" t="s">
        <v>759</v>
      </c>
      <c r="C391" s="1" t="s">
        <v>760</v>
      </c>
      <c r="E391">
        <f t="shared" si="6"/>
        <v>0</v>
      </c>
    </row>
    <row r="392" spans="1:5">
      <c r="A392" s="1">
        <f>IF(C392="","",COUNTA(C$4:C392))</f>
        <v>386</v>
      </c>
      <c r="B392" s="1" t="s">
        <v>761</v>
      </c>
      <c r="C392" s="1" t="s">
        <v>762</v>
      </c>
      <c r="E392">
        <f t="shared" si="6"/>
        <v>0</v>
      </c>
    </row>
    <row r="393" spans="1:5">
      <c r="A393" s="1">
        <f>IF(C393="","",COUNTA(C$4:C393))</f>
        <v>387</v>
      </c>
      <c r="B393" s="1" t="s">
        <v>763</v>
      </c>
      <c r="C393" s="1" t="s">
        <v>764</v>
      </c>
      <c r="E393">
        <f t="shared" si="6"/>
        <v>0</v>
      </c>
    </row>
    <row r="394" spans="1:5">
      <c r="A394" s="1">
        <f>IF(C394="","",COUNTA(C$4:C394))</f>
        <v>388</v>
      </c>
      <c r="B394" s="1" t="s">
        <v>765</v>
      </c>
      <c r="C394" s="1" t="s">
        <v>766</v>
      </c>
      <c r="E394">
        <f t="shared" si="6"/>
        <v>0</v>
      </c>
    </row>
    <row r="395" spans="1:5">
      <c r="A395" s="1">
        <f>IF(C395="","",COUNTA(C$4:C395))</f>
        <v>389</v>
      </c>
      <c r="B395" s="1" t="s">
        <v>767</v>
      </c>
      <c r="C395" s="1" t="s">
        <v>768</v>
      </c>
      <c r="E395">
        <f t="shared" si="6"/>
        <v>0</v>
      </c>
    </row>
    <row r="396" spans="1:5">
      <c r="A396" s="1">
        <f>IF(C396="","",COUNTA(C$4:C396))</f>
        <v>390</v>
      </c>
      <c r="B396" s="1" t="s">
        <v>579</v>
      </c>
      <c r="C396" s="1" t="s">
        <v>769</v>
      </c>
      <c r="E396">
        <f t="shared" si="6"/>
        <v>0</v>
      </c>
    </row>
    <row r="397" spans="1:5">
      <c r="A397" s="1">
        <f>IF(C397="","",COUNTA(C$4:C397))</f>
        <v>391</v>
      </c>
      <c r="B397" s="1" t="s">
        <v>770</v>
      </c>
      <c r="C397" s="1" t="s">
        <v>771</v>
      </c>
      <c r="E397">
        <f t="shared" si="6"/>
        <v>0</v>
      </c>
    </row>
    <row r="398" spans="1:5">
      <c r="A398" s="1">
        <f>IF(C398="","",COUNTA(C$4:C398))</f>
        <v>392</v>
      </c>
      <c r="B398" s="1" t="s">
        <v>772</v>
      </c>
      <c r="C398" s="1" t="s">
        <v>773</v>
      </c>
      <c r="E398">
        <f t="shared" si="6"/>
        <v>0</v>
      </c>
    </row>
    <row r="399" spans="1:5">
      <c r="A399" s="1">
        <f>IF(C399="","",COUNTA(C$4:C399))</f>
        <v>393</v>
      </c>
      <c r="B399" s="1" t="s">
        <v>774</v>
      </c>
      <c r="C399" s="1" t="s">
        <v>775</v>
      </c>
      <c r="E399">
        <f t="shared" si="6"/>
        <v>0</v>
      </c>
    </row>
    <row r="400" spans="1:5">
      <c r="A400" s="1">
        <f>IF(C400="","",COUNTA(C$4:C400))</f>
        <v>394</v>
      </c>
      <c r="B400" s="1" t="s">
        <v>776</v>
      </c>
      <c r="C400" s="1" t="s">
        <v>777</v>
      </c>
      <c r="E400">
        <f t="shared" si="6"/>
        <v>0</v>
      </c>
    </row>
    <row r="401" spans="1:5">
      <c r="A401" s="1">
        <f>IF(C401="","",COUNTA(C$4:C401))</f>
        <v>395</v>
      </c>
      <c r="B401" s="1" t="s">
        <v>778</v>
      </c>
      <c r="C401" s="1" t="s">
        <v>779</v>
      </c>
      <c r="E401">
        <f t="shared" si="6"/>
        <v>0</v>
      </c>
    </row>
    <row r="402" spans="1:5">
      <c r="A402" s="1">
        <f>IF(C402="","",COUNTA(C$4:C402))</f>
        <v>396</v>
      </c>
      <c r="B402" s="1" t="s">
        <v>780</v>
      </c>
      <c r="C402" s="1" t="s">
        <v>781</v>
      </c>
      <c r="E402">
        <f t="shared" si="6"/>
        <v>0</v>
      </c>
    </row>
    <row r="403" spans="1:5">
      <c r="A403" s="1">
        <f>IF(C403="","",COUNTA(C$4:C403))</f>
        <v>397</v>
      </c>
      <c r="B403" s="1" t="s">
        <v>782</v>
      </c>
      <c r="C403" s="1" t="s">
        <v>783</v>
      </c>
      <c r="E403">
        <f t="shared" si="6"/>
        <v>0</v>
      </c>
    </row>
    <row r="404" spans="1:5">
      <c r="A404" s="1">
        <f>IF(C404="","",COUNTA(C$4:C404))</f>
        <v>398</v>
      </c>
      <c r="B404" s="1" t="s">
        <v>784</v>
      </c>
      <c r="C404" s="1" t="s">
        <v>785</v>
      </c>
      <c r="E404">
        <f t="shared" si="6"/>
        <v>0</v>
      </c>
    </row>
    <row r="405" spans="1:5">
      <c r="A405" s="1">
        <f>IF(C405="","",COUNTA(C$4:C405))</f>
        <v>399</v>
      </c>
      <c r="B405" s="1" t="s">
        <v>786</v>
      </c>
      <c r="C405" s="1" t="s">
        <v>787</v>
      </c>
      <c r="E405">
        <f t="shared" si="6"/>
        <v>0</v>
      </c>
    </row>
    <row r="406" spans="1:5">
      <c r="A406" s="1">
        <f>IF(C406="","",COUNTA(C$4:C406))</f>
        <v>400</v>
      </c>
      <c r="B406" s="1" t="s">
        <v>786</v>
      </c>
      <c r="C406" s="1" t="s">
        <v>788</v>
      </c>
      <c r="E406">
        <f t="shared" si="6"/>
        <v>0</v>
      </c>
    </row>
    <row r="407" spans="1:5">
      <c r="A407" s="1">
        <f>IF(C407="","",COUNTA(C$4:C407))</f>
        <v>401</v>
      </c>
      <c r="B407" s="1" t="s">
        <v>789</v>
      </c>
      <c r="C407" s="1" t="s">
        <v>790</v>
      </c>
      <c r="E407">
        <f t="shared" si="6"/>
        <v>0</v>
      </c>
    </row>
    <row r="408" spans="1:5">
      <c r="A408" s="1">
        <f>IF(C408="","",COUNTA(C$4:C408))</f>
        <v>402</v>
      </c>
      <c r="B408" s="1" t="s">
        <v>791</v>
      </c>
      <c r="C408" s="1" t="s">
        <v>792</v>
      </c>
      <c r="E408">
        <f t="shared" si="6"/>
        <v>0</v>
      </c>
    </row>
    <row r="409" spans="1:5">
      <c r="A409" s="1">
        <f>IF(C409="","",COUNTA(C$4:C409))</f>
        <v>403</v>
      </c>
      <c r="B409" s="1" t="s">
        <v>793</v>
      </c>
      <c r="C409" s="1" t="s">
        <v>794</v>
      </c>
      <c r="E409">
        <f t="shared" si="6"/>
        <v>0</v>
      </c>
    </row>
    <row r="410" spans="1:5">
      <c r="A410" s="1">
        <f>IF(C410="","",COUNTA(C$4:C410))</f>
        <v>404</v>
      </c>
      <c r="B410" s="1" t="s">
        <v>795</v>
      </c>
      <c r="C410" s="1" t="s">
        <v>796</v>
      </c>
      <c r="E410">
        <f t="shared" si="6"/>
        <v>0</v>
      </c>
    </row>
    <row r="411" spans="1:5">
      <c r="A411" s="1">
        <f>IF(C411="","",COUNTA(C$4:C411))</f>
        <v>405</v>
      </c>
      <c r="B411" s="1" t="s">
        <v>797</v>
      </c>
      <c r="C411" s="1" t="s">
        <v>798</v>
      </c>
      <c r="E411">
        <f t="shared" si="6"/>
        <v>0</v>
      </c>
    </row>
    <row r="412" spans="1:5">
      <c r="A412" s="1">
        <f>IF(C412="","",COUNTA(C$4:C412))</f>
        <v>406</v>
      </c>
      <c r="B412" s="1" t="s">
        <v>799</v>
      </c>
      <c r="C412" s="1" t="s">
        <v>800</v>
      </c>
      <c r="E412">
        <f t="shared" si="6"/>
        <v>0</v>
      </c>
    </row>
    <row r="413" spans="1:5">
      <c r="A413" s="1">
        <f>IF(C413="","",COUNTA(C$4:C413))</f>
        <v>407</v>
      </c>
      <c r="B413" s="1" t="s">
        <v>801</v>
      </c>
      <c r="C413" s="1" t="s">
        <v>802</v>
      </c>
      <c r="E413">
        <f t="shared" si="6"/>
        <v>0</v>
      </c>
    </row>
    <row r="414" spans="1:5">
      <c r="A414" s="1">
        <f>IF(C414="","",COUNTA(C$4:C414))</f>
        <v>408</v>
      </c>
      <c r="B414" s="1" t="s">
        <v>803</v>
      </c>
      <c r="C414" s="1" t="s">
        <v>804</v>
      </c>
      <c r="E414">
        <f t="shared" si="6"/>
        <v>0</v>
      </c>
    </row>
    <row r="415" spans="1:5">
      <c r="A415" s="1">
        <f>IF(C415="","",COUNTA(C$4:C415))</f>
        <v>409</v>
      </c>
      <c r="B415" s="1" t="s">
        <v>805</v>
      </c>
      <c r="C415" s="1" t="s">
        <v>806</v>
      </c>
      <c r="E415">
        <f t="shared" si="6"/>
        <v>0</v>
      </c>
    </row>
    <row r="416" spans="1:5">
      <c r="A416" s="1">
        <f>IF(C416="","",COUNTA(C$4:C416))</f>
        <v>410</v>
      </c>
      <c r="B416" s="1" t="s">
        <v>807</v>
      </c>
      <c r="C416" s="1" t="s">
        <v>808</v>
      </c>
      <c r="E416">
        <f t="shared" si="6"/>
        <v>0</v>
      </c>
    </row>
    <row r="417" spans="1:5">
      <c r="A417" s="1">
        <f>IF(C417="","",COUNTA(C$4:C417))</f>
        <v>411</v>
      </c>
      <c r="B417" s="1" t="s">
        <v>809</v>
      </c>
      <c r="C417" s="1" t="s">
        <v>810</v>
      </c>
      <c r="E417">
        <f t="shared" si="6"/>
        <v>0</v>
      </c>
    </row>
    <row r="418" spans="1:5">
      <c r="A418" s="1">
        <f>IF(C418="","",COUNTA(C$4:C418))</f>
        <v>412</v>
      </c>
      <c r="B418" s="1" t="s">
        <v>811</v>
      </c>
      <c r="C418" s="1" t="s">
        <v>812</v>
      </c>
      <c r="E418">
        <f t="shared" si="6"/>
        <v>0</v>
      </c>
    </row>
    <row r="419" spans="1:5">
      <c r="A419" s="1">
        <f>IF(C419="","",COUNTA(C$4:C419))</f>
        <v>413</v>
      </c>
      <c r="B419" s="1" t="s">
        <v>813</v>
      </c>
      <c r="C419" s="1" t="s">
        <v>814</v>
      </c>
      <c r="E419">
        <f t="shared" si="6"/>
        <v>0</v>
      </c>
    </row>
    <row r="420" spans="1:5">
      <c r="A420" s="1">
        <f>IF(C420="","",COUNTA(C$4:C420))</f>
        <v>414</v>
      </c>
      <c r="B420" s="1" t="s">
        <v>815</v>
      </c>
      <c r="C420" s="1" t="s">
        <v>816</v>
      </c>
      <c r="E420">
        <f t="shared" si="6"/>
        <v>0</v>
      </c>
    </row>
    <row r="421" spans="1:5">
      <c r="A421" s="1">
        <f>IF(C421="","",COUNTA(C$4:C421))</f>
        <v>415</v>
      </c>
      <c r="B421" s="1" t="s">
        <v>817</v>
      </c>
      <c r="C421" s="1" t="s">
        <v>818</v>
      </c>
      <c r="E421">
        <f t="shared" si="6"/>
        <v>0</v>
      </c>
    </row>
    <row r="422" spans="1:5">
      <c r="A422" s="1">
        <f>IF(C422="","",COUNTA(C$4:C422))</f>
        <v>416</v>
      </c>
      <c r="B422" s="1" t="s">
        <v>819</v>
      </c>
      <c r="C422" s="1" t="s">
        <v>820</v>
      </c>
      <c r="E422">
        <f t="shared" si="6"/>
        <v>0</v>
      </c>
    </row>
    <row r="423" spans="1:5">
      <c r="A423" s="1">
        <f>IF(C423="","",COUNTA(C$4:C423))</f>
        <v>417</v>
      </c>
      <c r="B423" s="1" t="s">
        <v>821</v>
      </c>
      <c r="C423" s="1" t="s">
        <v>822</v>
      </c>
      <c r="E423">
        <f t="shared" si="6"/>
        <v>0</v>
      </c>
    </row>
    <row r="424" spans="1:5">
      <c r="A424" s="1">
        <f>IF(C424="","",COUNTA(C$4:C424))</f>
        <v>418</v>
      </c>
      <c r="B424" s="1" t="s">
        <v>823</v>
      </c>
      <c r="C424" s="1" t="s">
        <v>824</v>
      </c>
      <c r="E424">
        <f t="shared" si="6"/>
        <v>0</v>
      </c>
    </row>
    <row r="425" spans="1:5">
      <c r="A425" s="1">
        <f>IF(C425="","",COUNTA(C$4:C425))</f>
        <v>419</v>
      </c>
      <c r="B425" s="1" t="s">
        <v>825</v>
      </c>
      <c r="C425" s="1" t="s">
        <v>826</v>
      </c>
      <c r="E425">
        <f t="shared" si="6"/>
        <v>0</v>
      </c>
    </row>
    <row r="426" spans="1:5">
      <c r="A426" s="1">
        <f>IF(C426="","",COUNTA(C$4:C426))</f>
        <v>420</v>
      </c>
      <c r="B426" s="1" t="s">
        <v>827</v>
      </c>
      <c r="C426" s="1" t="s">
        <v>828</v>
      </c>
      <c r="E426">
        <f t="shared" si="6"/>
        <v>0</v>
      </c>
    </row>
    <row r="427" spans="1:5">
      <c r="A427" s="1">
        <f>IF(C427="","",COUNTA(C$4:C427))</f>
        <v>421</v>
      </c>
      <c r="B427" s="1" t="s">
        <v>829</v>
      </c>
      <c r="C427" s="1" t="s">
        <v>830</v>
      </c>
      <c r="E427">
        <f t="shared" si="6"/>
        <v>0</v>
      </c>
    </row>
    <row r="428" spans="1:5">
      <c r="A428" s="1">
        <f>IF(C428="","",COUNTA(C$4:C428))</f>
        <v>422</v>
      </c>
      <c r="B428" s="1" t="s">
        <v>831</v>
      </c>
      <c r="C428" s="1" t="s">
        <v>832</v>
      </c>
      <c r="E428">
        <f t="shared" si="6"/>
        <v>0</v>
      </c>
    </row>
    <row r="429" spans="1:5">
      <c r="A429" s="1">
        <f>IF(C429="","",COUNTA(C$4:C429))</f>
        <v>423</v>
      </c>
      <c r="B429" s="1" t="s">
        <v>833</v>
      </c>
      <c r="C429" s="1" t="s">
        <v>834</v>
      </c>
      <c r="E429">
        <f t="shared" si="6"/>
        <v>0</v>
      </c>
    </row>
    <row r="430" spans="1:5">
      <c r="A430" s="1">
        <f>IF(C430="","",COUNTA(C$4:C430))</f>
        <v>424</v>
      </c>
      <c r="B430" s="1" t="s">
        <v>835</v>
      </c>
      <c r="C430" s="1" t="s">
        <v>836</v>
      </c>
      <c r="E430">
        <f t="shared" si="6"/>
        <v>0</v>
      </c>
    </row>
    <row r="431" spans="1:5">
      <c r="A431" s="1">
        <f>IF(C431="","",COUNTA(C$4:C431))</f>
        <v>425</v>
      </c>
      <c r="B431" s="1" t="s">
        <v>837</v>
      </c>
      <c r="C431" s="1" t="s">
        <v>838</v>
      </c>
      <c r="E431">
        <f t="shared" si="6"/>
        <v>0</v>
      </c>
    </row>
    <row r="432" spans="1:5">
      <c r="A432" s="1">
        <f>IF(C432="","",COUNTA(C$4:C432))</f>
        <v>426</v>
      </c>
      <c r="B432" s="1" t="s">
        <v>839</v>
      </c>
      <c r="C432" s="1" t="s">
        <v>840</v>
      </c>
      <c r="E432">
        <f t="shared" si="6"/>
        <v>0</v>
      </c>
    </row>
    <row r="433" spans="1:5">
      <c r="A433" s="1">
        <f>IF(C433="","",COUNTA(C$4:C433))</f>
        <v>427</v>
      </c>
      <c r="B433" s="1" t="s">
        <v>113</v>
      </c>
      <c r="C433" s="1" t="s">
        <v>841</v>
      </c>
      <c r="E433">
        <f t="shared" si="6"/>
        <v>0</v>
      </c>
    </row>
    <row r="434" spans="1:5">
      <c r="A434" s="1">
        <f>IF(C434="","",COUNTA(C$4:C434))</f>
        <v>428</v>
      </c>
      <c r="B434" s="1" t="s">
        <v>842</v>
      </c>
      <c r="C434" s="1" t="s">
        <v>843</v>
      </c>
      <c r="E434">
        <f t="shared" si="6"/>
        <v>0</v>
      </c>
    </row>
    <row r="435" spans="1:5">
      <c r="A435" s="1">
        <f>IF(C435="","",COUNTA(C$4:C435))</f>
        <v>429</v>
      </c>
      <c r="B435" s="1" t="s">
        <v>844</v>
      </c>
      <c r="C435" s="1" t="s">
        <v>845</v>
      </c>
      <c r="E435">
        <f t="shared" si="6"/>
        <v>0</v>
      </c>
    </row>
    <row r="436" spans="1:5">
      <c r="A436" s="1">
        <f>IF(C436="","",COUNTA(C$4:C436))</f>
        <v>430</v>
      </c>
      <c r="B436" s="1" t="s">
        <v>846</v>
      </c>
      <c r="C436" s="1" t="s">
        <v>847</v>
      </c>
      <c r="E436">
        <f t="shared" si="6"/>
        <v>0</v>
      </c>
    </row>
    <row r="437" spans="1:5">
      <c r="A437" s="1">
        <f>IF(C437="","",COUNTA(C$4:C437))</f>
        <v>431</v>
      </c>
      <c r="B437" s="1" t="s">
        <v>848</v>
      </c>
      <c r="C437" s="1" t="s">
        <v>849</v>
      </c>
      <c r="E437">
        <f t="shared" si="6"/>
        <v>0</v>
      </c>
    </row>
    <row r="438" spans="1:5">
      <c r="A438" s="1">
        <f>IF(C438="","",COUNTA(C$4:C438))</f>
        <v>432</v>
      </c>
      <c r="B438" s="1" t="s">
        <v>850</v>
      </c>
      <c r="C438" s="1" t="s">
        <v>851</v>
      </c>
      <c r="E438">
        <f t="shared" si="6"/>
        <v>0</v>
      </c>
    </row>
    <row r="439" spans="1:5">
      <c r="A439" s="1">
        <f>IF(C439="","",COUNTA(C$4:C439))</f>
        <v>433</v>
      </c>
      <c r="B439" s="1" t="s">
        <v>852</v>
      </c>
      <c r="C439" s="1" t="s">
        <v>853</v>
      </c>
      <c r="E439">
        <f t="shared" si="6"/>
        <v>0</v>
      </c>
    </row>
    <row r="440" spans="1:5">
      <c r="A440" s="1">
        <f>IF(C440="","",COUNTA(C$4:C440))</f>
        <v>434</v>
      </c>
      <c r="B440" s="1" t="s">
        <v>852</v>
      </c>
      <c r="C440" s="1" t="s">
        <v>854</v>
      </c>
      <c r="E440">
        <f t="shared" si="6"/>
        <v>0</v>
      </c>
    </row>
    <row r="441" spans="1:5">
      <c r="A441" s="1">
        <f>IF(C441="","",COUNTA(C$4:C441))</f>
        <v>435</v>
      </c>
      <c r="B441" s="1" t="s">
        <v>855</v>
      </c>
      <c r="C441" s="1" t="s">
        <v>856</v>
      </c>
      <c r="E441">
        <f t="shared" si="6"/>
        <v>0</v>
      </c>
    </row>
    <row r="442" spans="1:5">
      <c r="A442" s="1">
        <f>IF(C442="","",COUNTA(C$4:C442))</f>
        <v>436</v>
      </c>
      <c r="B442" s="1" t="s">
        <v>855</v>
      </c>
      <c r="C442" s="1" t="s">
        <v>857</v>
      </c>
      <c r="E442">
        <f t="shared" si="6"/>
        <v>0</v>
      </c>
    </row>
    <row r="443" spans="1:5">
      <c r="A443" s="1">
        <f>IF(C443="","",COUNTA(C$4:C443))</f>
        <v>437</v>
      </c>
      <c r="B443" s="1" t="s">
        <v>858</v>
      </c>
      <c r="C443" s="1" t="s">
        <v>859</v>
      </c>
      <c r="E443">
        <f t="shared" si="6"/>
        <v>0</v>
      </c>
    </row>
    <row r="444" spans="1:5">
      <c r="A444" s="1">
        <f>IF(C444="","",COUNTA(C$4:C444))</f>
        <v>438</v>
      </c>
      <c r="B444" s="1" t="s">
        <v>860</v>
      </c>
      <c r="C444" s="1" t="s">
        <v>861</v>
      </c>
      <c r="E444">
        <f t="shared" si="6"/>
        <v>0</v>
      </c>
    </row>
    <row r="445" spans="1:5">
      <c r="A445" s="1">
        <f>IF(C445="","",COUNTA(C$4:C445))</f>
        <v>439</v>
      </c>
      <c r="B445" s="1" t="s">
        <v>862</v>
      </c>
      <c r="C445" s="1" t="s">
        <v>863</v>
      </c>
      <c r="E445">
        <f t="shared" si="6"/>
        <v>0</v>
      </c>
    </row>
    <row r="446" spans="1:5">
      <c r="A446" s="1">
        <f>IF(C446="","",COUNTA(C$4:C446))</f>
        <v>440</v>
      </c>
      <c r="B446" s="1" t="s">
        <v>864</v>
      </c>
      <c r="C446" s="1" t="s">
        <v>865</v>
      </c>
      <c r="E446">
        <f t="shared" si="6"/>
        <v>0</v>
      </c>
    </row>
    <row r="447" spans="1:5">
      <c r="A447" s="1">
        <f>IF(C447="","",COUNTA(C$4:C447))</f>
        <v>441</v>
      </c>
      <c r="B447" s="1" t="s">
        <v>866</v>
      </c>
      <c r="C447" s="1" t="s">
        <v>867</v>
      </c>
      <c r="E447">
        <f t="shared" si="6"/>
        <v>0</v>
      </c>
    </row>
    <row r="448" spans="1:5">
      <c r="A448" s="1">
        <f>IF(C448="","",COUNTA(C$4:C448))</f>
        <v>442</v>
      </c>
      <c r="B448" s="1" t="s">
        <v>868</v>
      </c>
      <c r="C448" s="1" t="s">
        <v>869</v>
      </c>
      <c r="E448">
        <f t="shared" si="6"/>
        <v>0</v>
      </c>
    </row>
    <row r="449" spans="1:5">
      <c r="A449" s="1">
        <f>IF(C449="","",COUNTA(C$4:C449))</f>
        <v>443</v>
      </c>
      <c r="B449" s="1" t="s">
        <v>870</v>
      </c>
      <c r="C449" s="1" t="s">
        <v>871</v>
      </c>
      <c r="E449">
        <f t="shared" si="6"/>
        <v>0</v>
      </c>
    </row>
    <row r="450" spans="1:5">
      <c r="A450" s="1">
        <f>IF(C450="","",COUNTA(C$4:C450))</f>
        <v>444</v>
      </c>
      <c r="B450" s="1" t="s">
        <v>872</v>
      </c>
      <c r="C450" s="1" t="s">
        <v>873</v>
      </c>
      <c r="E450">
        <f t="shared" si="6"/>
        <v>0</v>
      </c>
    </row>
    <row r="451" spans="1:5">
      <c r="A451" s="1">
        <f>IF(C451="","",COUNTA(C$4:C451))</f>
        <v>445</v>
      </c>
      <c r="B451" s="1" t="s">
        <v>874</v>
      </c>
      <c r="C451" s="1" t="s">
        <v>875</v>
      </c>
      <c r="E451">
        <f t="shared" si="6"/>
        <v>0</v>
      </c>
    </row>
    <row r="452" spans="1:5">
      <c r="A452" s="1">
        <f>IF(C452="","",COUNTA(C$4:C452))</f>
        <v>446</v>
      </c>
      <c r="B452" s="1" t="s">
        <v>876</v>
      </c>
      <c r="C452" s="1" t="s">
        <v>877</v>
      </c>
      <c r="E452">
        <f t="shared" si="6"/>
        <v>0</v>
      </c>
    </row>
    <row r="453" spans="1:5">
      <c r="A453" s="1">
        <f>IF(C453="","",COUNTA(C$4:C453))</f>
        <v>447</v>
      </c>
      <c r="B453" s="1" t="s">
        <v>878</v>
      </c>
      <c r="C453" s="1" t="s">
        <v>879</v>
      </c>
      <c r="E453">
        <f t="shared" ref="E453:E516" si="7">IF(C453=D453,1,0)</f>
        <v>0</v>
      </c>
    </row>
    <row r="454" spans="1:5">
      <c r="A454" s="1">
        <f>IF(C454="","",COUNTA(C$4:C454))</f>
        <v>448</v>
      </c>
      <c r="B454" s="1" t="s">
        <v>880</v>
      </c>
      <c r="C454" s="1" t="s">
        <v>881</v>
      </c>
      <c r="E454">
        <f t="shared" si="7"/>
        <v>0</v>
      </c>
    </row>
    <row r="455" spans="1:5">
      <c r="A455" s="1">
        <f>IF(C455="","",COUNTA(C$4:C455))</f>
        <v>449</v>
      </c>
      <c r="B455" s="1" t="s">
        <v>882</v>
      </c>
      <c r="C455" s="1" t="s">
        <v>883</v>
      </c>
      <c r="E455">
        <f t="shared" si="7"/>
        <v>0</v>
      </c>
    </row>
    <row r="456" spans="1:5">
      <c r="A456" s="1">
        <f>IF(C456="","",COUNTA(C$4:C456))</f>
        <v>450</v>
      </c>
      <c r="B456" s="1" t="s">
        <v>884</v>
      </c>
      <c r="C456" s="1" t="s">
        <v>885</v>
      </c>
      <c r="E456">
        <f t="shared" si="7"/>
        <v>0</v>
      </c>
    </row>
    <row r="457" spans="1:5">
      <c r="A457" s="1">
        <f>IF(C457="","",COUNTA(C$4:C457))</f>
        <v>451</v>
      </c>
      <c r="B457" s="1" t="s">
        <v>886</v>
      </c>
      <c r="C457" s="1" t="s">
        <v>887</v>
      </c>
      <c r="E457">
        <f t="shared" si="7"/>
        <v>0</v>
      </c>
    </row>
    <row r="458" spans="1:5">
      <c r="A458" s="1">
        <f>IF(C458="","",COUNTA(C$4:C458))</f>
        <v>452</v>
      </c>
      <c r="B458" s="1" t="s">
        <v>585</v>
      </c>
      <c r="C458" s="1" t="s">
        <v>888</v>
      </c>
      <c r="E458">
        <f t="shared" si="7"/>
        <v>0</v>
      </c>
    </row>
    <row r="459" spans="1:5">
      <c r="A459" s="1">
        <f>IF(C459="","",COUNTA(C$4:C459))</f>
        <v>453</v>
      </c>
      <c r="B459" s="1" t="s">
        <v>889</v>
      </c>
      <c r="C459" s="1" t="s">
        <v>890</v>
      </c>
      <c r="E459">
        <f t="shared" si="7"/>
        <v>0</v>
      </c>
    </row>
    <row r="460" spans="1:5">
      <c r="A460" s="1">
        <f>IF(C460="","",COUNTA(C$4:C460))</f>
        <v>454</v>
      </c>
      <c r="B460" s="1" t="s">
        <v>891</v>
      </c>
      <c r="C460" s="1" t="s">
        <v>892</v>
      </c>
      <c r="E460">
        <f t="shared" si="7"/>
        <v>0</v>
      </c>
    </row>
    <row r="461" spans="1:5">
      <c r="A461" s="1">
        <f>IF(C461="","",COUNTA(C$4:C461))</f>
        <v>455</v>
      </c>
      <c r="B461" s="1" t="s">
        <v>893</v>
      </c>
      <c r="C461" s="1" t="s">
        <v>894</v>
      </c>
      <c r="E461">
        <f t="shared" si="7"/>
        <v>0</v>
      </c>
    </row>
    <row r="462" spans="1:5">
      <c r="A462" s="1">
        <f>IF(C462="","",COUNTA(C$4:C462))</f>
        <v>456</v>
      </c>
      <c r="B462" s="1" t="s">
        <v>895</v>
      </c>
      <c r="C462" s="1" t="s">
        <v>896</v>
      </c>
      <c r="E462">
        <f t="shared" si="7"/>
        <v>0</v>
      </c>
    </row>
    <row r="463" spans="1:5">
      <c r="A463" s="1">
        <f>IF(C463="","",COUNTA(C$4:C463))</f>
        <v>457</v>
      </c>
      <c r="B463" s="1" t="s">
        <v>897</v>
      </c>
      <c r="C463" s="1" t="s">
        <v>898</v>
      </c>
      <c r="E463">
        <f t="shared" si="7"/>
        <v>0</v>
      </c>
    </row>
    <row r="464" spans="1:5">
      <c r="A464" s="1">
        <f>IF(C464="","",COUNTA(C$4:C464))</f>
        <v>458</v>
      </c>
      <c r="B464" s="1" t="s">
        <v>899</v>
      </c>
      <c r="C464" s="1" t="s">
        <v>900</v>
      </c>
      <c r="E464">
        <f t="shared" si="7"/>
        <v>0</v>
      </c>
    </row>
    <row r="465" spans="1:5">
      <c r="A465" s="1">
        <f>IF(C465="","",COUNTA(C$4:C465))</f>
        <v>459</v>
      </c>
      <c r="B465" s="1" t="s">
        <v>901</v>
      </c>
      <c r="C465" s="1" t="s">
        <v>902</v>
      </c>
      <c r="E465">
        <f t="shared" si="7"/>
        <v>0</v>
      </c>
    </row>
    <row r="466" spans="1:5">
      <c r="A466" s="1">
        <f>IF(C466="","",COUNTA(C$4:C466))</f>
        <v>460</v>
      </c>
      <c r="B466" s="1" t="s">
        <v>903</v>
      </c>
      <c r="C466" s="1" t="s">
        <v>904</v>
      </c>
      <c r="E466">
        <f t="shared" si="7"/>
        <v>0</v>
      </c>
    </row>
    <row r="467" spans="1:5">
      <c r="A467" s="1">
        <f>IF(C467="","",COUNTA(C$4:C467))</f>
        <v>461</v>
      </c>
      <c r="B467" s="1" t="s">
        <v>905</v>
      </c>
      <c r="C467" s="1" t="s">
        <v>906</v>
      </c>
      <c r="E467">
        <f t="shared" si="7"/>
        <v>0</v>
      </c>
    </row>
    <row r="468" spans="1:5">
      <c r="A468" s="1">
        <f>IF(C468="","",COUNTA(C$4:C468))</f>
        <v>462</v>
      </c>
      <c r="B468" s="1" t="s">
        <v>907</v>
      </c>
      <c r="C468" s="1" t="s">
        <v>908</v>
      </c>
      <c r="E468">
        <f t="shared" si="7"/>
        <v>0</v>
      </c>
    </row>
    <row r="469" spans="1:5">
      <c r="A469" s="1">
        <f>IF(C469="","",COUNTA(C$4:C469))</f>
        <v>463</v>
      </c>
      <c r="B469" s="1" t="s">
        <v>909</v>
      </c>
      <c r="C469" s="1" t="s">
        <v>910</v>
      </c>
      <c r="E469">
        <f t="shared" si="7"/>
        <v>0</v>
      </c>
    </row>
    <row r="470" spans="1:5">
      <c r="A470" s="1">
        <f>IF(C470="","",COUNTA(C$4:C470))</f>
        <v>464</v>
      </c>
      <c r="B470" s="1" t="s">
        <v>909</v>
      </c>
      <c r="C470" s="1" t="s">
        <v>911</v>
      </c>
      <c r="E470">
        <f t="shared" si="7"/>
        <v>0</v>
      </c>
    </row>
    <row r="471" spans="1:5">
      <c r="A471" s="1">
        <f>IF(C471="","",COUNTA(C$4:C471))</f>
        <v>465</v>
      </c>
      <c r="B471" s="1" t="s">
        <v>912</v>
      </c>
      <c r="C471" s="1" t="s">
        <v>913</v>
      </c>
      <c r="E471">
        <f t="shared" si="7"/>
        <v>0</v>
      </c>
    </row>
    <row r="472" spans="1:5">
      <c r="A472" s="1">
        <f>IF(C472="","",COUNTA(C$4:C472))</f>
        <v>466</v>
      </c>
      <c r="B472" s="1" t="s">
        <v>694</v>
      </c>
      <c r="C472" s="1" t="s">
        <v>914</v>
      </c>
      <c r="E472">
        <f t="shared" si="7"/>
        <v>0</v>
      </c>
    </row>
    <row r="473" spans="1:5">
      <c r="A473" s="1">
        <f>IF(C473="","",COUNTA(C$4:C473))</f>
        <v>467</v>
      </c>
      <c r="B473" s="1" t="s">
        <v>915</v>
      </c>
      <c r="C473" s="1" t="s">
        <v>916</v>
      </c>
      <c r="E473">
        <f t="shared" si="7"/>
        <v>0</v>
      </c>
    </row>
    <row r="474" spans="1:5">
      <c r="A474" s="1">
        <f>IF(C474="","",COUNTA(C$4:C474))</f>
        <v>468</v>
      </c>
      <c r="B474" s="1" t="s">
        <v>917</v>
      </c>
      <c r="C474" s="1" t="s">
        <v>918</v>
      </c>
      <c r="E474">
        <f t="shared" si="7"/>
        <v>0</v>
      </c>
    </row>
    <row r="475" spans="1:5">
      <c r="A475" s="1">
        <f>IF(C475="","",COUNTA(C$4:C475))</f>
        <v>469</v>
      </c>
      <c r="B475" s="1" t="s">
        <v>917</v>
      </c>
      <c r="C475" s="1" t="s">
        <v>919</v>
      </c>
      <c r="E475">
        <f t="shared" si="7"/>
        <v>0</v>
      </c>
    </row>
    <row r="476" spans="1:5">
      <c r="A476" s="1">
        <f>IF(C476="","",COUNTA(C$4:C476))</f>
        <v>470</v>
      </c>
      <c r="B476" s="1" t="s">
        <v>920</v>
      </c>
      <c r="C476" s="1" t="s">
        <v>921</v>
      </c>
      <c r="E476">
        <f t="shared" si="7"/>
        <v>0</v>
      </c>
    </row>
    <row r="477" spans="1:5">
      <c r="A477" s="1">
        <f>IF(C477="","",COUNTA(C$4:C477))</f>
        <v>471</v>
      </c>
      <c r="B477" s="1" t="s">
        <v>922</v>
      </c>
      <c r="C477" s="1" t="s">
        <v>923</v>
      </c>
      <c r="E477">
        <f t="shared" si="7"/>
        <v>0</v>
      </c>
    </row>
    <row r="478" spans="1:5">
      <c r="A478" s="1">
        <f>IF(C478="","",COUNTA(C$4:C478))</f>
        <v>472</v>
      </c>
      <c r="B478" s="1" t="s">
        <v>922</v>
      </c>
      <c r="C478" s="1" t="s">
        <v>924</v>
      </c>
      <c r="E478">
        <f t="shared" si="7"/>
        <v>0</v>
      </c>
    </row>
    <row r="479" spans="1:5">
      <c r="A479" s="1">
        <f>IF(C479="","",COUNTA(C$4:C479))</f>
        <v>473</v>
      </c>
      <c r="B479" s="1" t="s">
        <v>925</v>
      </c>
      <c r="C479" s="1" t="s">
        <v>926</v>
      </c>
      <c r="E479">
        <f t="shared" si="7"/>
        <v>0</v>
      </c>
    </row>
    <row r="480" spans="1:5">
      <c r="A480" s="1">
        <f>IF(C480="","",COUNTA(C$4:C480))</f>
        <v>474</v>
      </c>
      <c r="B480" s="1" t="s">
        <v>927</v>
      </c>
      <c r="C480" s="1" t="s">
        <v>928</v>
      </c>
      <c r="E480">
        <f t="shared" si="7"/>
        <v>0</v>
      </c>
    </row>
    <row r="481" spans="1:5">
      <c r="A481" s="1">
        <f>IF(C481="","",COUNTA(C$4:C481))</f>
        <v>475</v>
      </c>
      <c r="B481" s="1" t="s">
        <v>929</v>
      </c>
      <c r="C481" s="1" t="s">
        <v>930</v>
      </c>
      <c r="E481">
        <f t="shared" si="7"/>
        <v>0</v>
      </c>
    </row>
    <row r="482" spans="1:5">
      <c r="A482" s="1">
        <f>IF(C482="","",COUNTA(C$4:C482))</f>
        <v>476</v>
      </c>
      <c r="B482" s="1" t="s">
        <v>931</v>
      </c>
      <c r="C482" s="1" t="s">
        <v>932</v>
      </c>
      <c r="E482">
        <f t="shared" si="7"/>
        <v>0</v>
      </c>
    </row>
    <row r="483" spans="1:5">
      <c r="A483" s="1">
        <f>IF(C483="","",COUNTA(C$4:C483))</f>
        <v>477</v>
      </c>
      <c r="B483" s="1" t="s">
        <v>933</v>
      </c>
      <c r="C483" s="1" t="s">
        <v>934</v>
      </c>
      <c r="E483">
        <f t="shared" si="7"/>
        <v>0</v>
      </c>
    </row>
    <row r="484" spans="1:5">
      <c r="A484" s="1">
        <f>IF(C484="","",COUNTA(C$4:C484))</f>
        <v>478</v>
      </c>
      <c r="B484" s="1" t="s">
        <v>935</v>
      </c>
      <c r="C484" s="1" t="s">
        <v>936</v>
      </c>
      <c r="E484">
        <f t="shared" si="7"/>
        <v>0</v>
      </c>
    </row>
    <row r="485" spans="1:5">
      <c r="A485" s="1">
        <f>IF(C485="","",COUNTA(C$4:C485))</f>
        <v>479</v>
      </c>
      <c r="B485" s="1" t="s">
        <v>937</v>
      </c>
      <c r="C485" s="1" t="s">
        <v>938</v>
      </c>
      <c r="E485">
        <f t="shared" si="7"/>
        <v>0</v>
      </c>
    </row>
    <row r="486" spans="1:5">
      <c r="A486" s="1">
        <f>IF(C486="","",COUNTA(C$4:C486))</f>
        <v>480</v>
      </c>
      <c r="B486" s="1" t="s">
        <v>939</v>
      </c>
      <c r="C486" s="1" t="s">
        <v>940</v>
      </c>
      <c r="E486">
        <f t="shared" si="7"/>
        <v>0</v>
      </c>
    </row>
    <row r="487" spans="1:5">
      <c r="A487" s="12" t="s">
        <v>941</v>
      </c>
      <c r="B487" s="13"/>
      <c r="C487" s="14"/>
      <c r="D487" s="9"/>
      <c r="E487">
        <f t="shared" si="7"/>
        <v>1</v>
      </c>
    </row>
    <row r="488" spans="1:5">
      <c r="A488" s="1">
        <f>IF(C488="","",COUNTA(C$4:C488))</f>
        <v>481</v>
      </c>
      <c r="B488" s="1" t="s">
        <v>942</v>
      </c>
      <c r="C488" s="1" t="s">
        <v>943</v>
      </c>
      <c r="E488">
        <f t="shared" si="7"/>
        <v>0</v>
      </c>
    </row>
    <row r="489" spans="1:5">
      <c r="A489" s="1">
        <f>IF(C489="","",COUNTA(C$4:C489))</f>
        <v>482</v>
      </c>
      <c r="B489" s="1" t="s">
        <v>944</v>
      </c>
      <c r="C489" s="1" t="s">
        <v>945</v>
      </c>
      <c r="E489">
        <f t="shared" si="7"/>
        <v>0</v>
      </c>
    </row>
    <row r="490" spans="1:5">
      <c r="A490" s="1">
        <f>IF(C490="","",COUNTA(C$4:C490))</f>
        <v>483</v>
      </c>
      <c r="B490" s="1" t="s">
        <v>946</v>
      </c>
      <c r="C490" s="1" t="s">
        <v>947</v>
      </c>
      <c r="E490">
        <f t="shared" si="7"/>
        <v>0</v>
      </c>
    </row>
    <row r="491" spans="1:5">
      <c r="A491" s="1">
        <f>IF(C491="","",COUNTA(C$4:C491))</f>
        <v>484</v>
      </c>
      <c r="B491" s="1" t="s">
        <v>946</v>
      </c>
      <c r="C491" s="1" t="s">
        <v>948</v>
      </c>
      <c r="E491">
        <f t="shared" si="7"/>
        <v>0</v>
      </c>
    </row>
    <row r="492" spans="1:5">
      <c r="A492" s="1">
        <f>IF(C492="","",COUNTA(C$4:C492))</f>
        <v>485</v>
      </c>
      <c r="B492" s="1" t="s">
        <v>949</v>
      </c>
      <c r="C492" s="1" t="s">
        <v>950</v>
      </c>
      <c r="E492">
        <f t="shared" si="7"/>
        <v>0</v>
      </c>
    </row>
    <row r="493" spans="1:5">
      <c r="A493" s="1">
        <f>IF(C493="","",COUNTA(C$4:C493))</f>
        <v>486</v>
      </c>
      <c r="B493" s="1" t="s">
        <v>951</v>
      </c>
      <c r="C493" s="1" t="s">
        <v>952</v>
      </c>
      <c r="E493">
        <f t="shared" si="7"/>
        <v>0</v>
      </c>
    </row>
    <row r="494" spans="1:5">
      <c r="A494" s="1">
        <f>IF(C494="","",COUNTA(C$4:C494))</f>
        <v>487</v>
      </c>
      <c r="B494" s="1" t="s">
        <v>953</v>
      </c>
      <c r="C494" s="1" t="s">
        <v>954</v>
      </c>
      <c r="E494">
        <f t="shared" si="7"/>
        <v>0</v>
      </c>
    </row>
    <row r="495" spans="1:5">
      <c r="A495" s="1">
        <f>IF(C495="","",COUNTA(C$4:C495))</f>
        <v>488</v>
      </c>
      <c r="B495" s="1" t="s">
        <v>955</v>
      </c>
      <c r="C495" s="1" t="s">
        <v>956</v>
      </c>
      <c r="E495">
        <f t="shared" si="7"/>
        <v>0</v>
      </c>
    </row>
    <row r="496" spans="1:5">
      <c r="A496" s="1">
        <f>IF(C496="","",COUNTA(C$4:C496))</f>
        <v>489</v>
      </c>
      <c r="B496" s="1" t="s">
        <v>957</v>
      </c>
      <c r="C496" s="1" t="s">
        <v>958</v>
      </c>
      <c r="E496">
        <f t="shared" si="7"/>
        <v>0</v>
      </c>
    </row>
    <row r="497" spans="1:5">
      <c r="A497" s="1">
        <f>IF(C497="","",COUNTA(C$4:C497))</f>
        <v>490</v>
      </c>
      <c r="B497" s="1" t="s">
        <v>959</v>
      </c>
      <c r="C497" s="1" t="s">
        <v>960</v>
      </c>
      <c r="E497">
        <f t="shared" si="7"/>
        <v>0</v>
      </c>
    </row>
    <row r="498" spans="1:5">
      <c r="A498" s="1">
        <f>IF(C498="","",COUNTA(C$4:C498))</f>
        <v>491</v>
      </c>
      <c r="B498" s="1" t="s">
        <v>961</v>
      </c>
      <c r="C498" s="1" t="s">
        <v>962</v>
      </c>
      <c r="E498">
        <f t="shared" si="7"/>
        <v>0</v>
      </c>
    </row>
    <row r="499" spans="1:5">
      <c r="A499" s="1">
        <f>IF(C499="","",COUNTA(C$4:C499))</f>
        <v>492</v>
      </c>
      <c r="B499" s="1" t="s">
        <v>963</v>
      </c>
      <c r="C499" s="1" t="s">
        <v>964</v>
      </c>
      <c r="E499">
        <f t="shared" si="7"/>
        <v>0</v>
      </c>
    </row>
    <row r="500" spans="1:5">
      <c r="A500" s="1">
        <f>IF(C500="","",COUNTA(C$4:C500))</f>
        <v>493</v>
      </c>
      <c r="B500" s="1" t="s">
        <v>965</v>
      </c>
      <c r="C500" s="1" t="s">
        <v>966</v>
      </c>
      <c r="E500">
        <f t="shared" si="7"/>
        <v>0</v>
      </c>
    </row>
    <row r="501" spans="1:5">
      <c r="A501" s="1">
        <f>IF(C501="","",COUNTA(C$4:C501))</f>
        <v>494</v>
      </c>
      <c r="B501" s="1" t="s">
        <v>967</v>
      </c>
      <c r="C501" s="1" t="s">
        <v>968</v>
      </c>
      <c r="E501">
        <f t="shared" si="7"/>
        <v>0</v>
      </c>
    </row>
    <row r="502" spans="1:5">
      <c r="A502" s="1">
        <f>IF(C502="","",COUNTA(C$4:C502))</f>
        <v>495</v>
      </c>
      <c r="B502" s="1" t="s">
        <v>969</v>
      </c>
      <c r="C502" s="1" t="s">
        <v>970</v>
      </c>
      <c r="E502">
        <f t="shared" si="7"/>
        <v>0</v>
      </c>
    </row>
    <row r="503" spans="1:5">
      <c r="A503" s="1">
        <f>IF(C503="","",COUNTA(C$4:C503))</f>
        <v>496</v>
      </c>
      <c r="B503" s="1" t="s">
        <v>957</v>
      </c>
      <c r="C503" s="1" t="s">
        <v>971</v>
      </c>
      <c r="E503">
        <f t="shared" si="7"/>
        <v>0</v>
      </c>
    </row>
    <row r="504" spans="1:5">
      <c r="A504" s="1">
        <f>IF(C504="","",COUNTA(C$4:C504))</f>
        <v>497</v>
      </c>
      <c r="B504" s="1" t="s">
        <v>972</v>
      </c>
      <c r="C504" s="1" t="s">
        <v>973</v>
      </c>
      <c r="E504">
        <f t="shared" si="7"/>
        <v>0</v>
      </c>
    </row>
    <row r="505" spans="1:5">
      <c r="A505" s="1">
        <f>IF(C505="","",COUNTA(C$4:C505))</f>
        <v>498</v>
      </c>
      <c r="B505" s="1" t="s">
        <v>974</v>
      </c>
      <c r="C505" s="1" t="s">
        <v>975</v>
      </c>
      <c r="E505">
        <f t="shared" si="7"/>
        <v>0</v>
      </c>
    </row>
    <row r="506" spans="1:5">
      <c r="A506" s="1">
        <f>IF(C506="","",COUNTA(C$4:C506))</f>
        <v>499</v>
      </c>
      <c r="B506" s="1" t="s">
        <v>976</v>
      </c>
      <c r="C506" s="1" t="s">
        <v>977</v>
      </c>
      <c r="E506">
        <f t="shared" si="7"/>
        <v>0</v>
      </c>
    </row>
    <row r="507" spans="1:5">
      <c r="A507" s="1">
        <f>IF(C507="","",COUNTA(C$4:C507))</f>
        <v>500</v>
      </c>
      <c r="B507" s="1" t="s">
        <v>978</v>
      </c>
      <c r="C507" s="1" t="s">
        <v>979</v>
      </c>
      <c r="E507">
        <f t="shared" si="7"/>
        <v>0</v>
      </c>
    </row>
    <row r="508" spans="1:5">
      <c r="A508" s="1">
        <f>IF(C508="","",COUNTA(C$4:C508))</f>
        <v>501</v>
      </c>
      <c r="B508" s="1" t="s">
        <v>980</v>
      </c>
      <c r="C508" s="1" t="s">
        <v>981</v>
      </c>
      <c r="E508">
        <f t="shared" si="7"/>
        <v>0</v>
      </c>
    </row>
    <row r="509" spans="1:5">
      <c r="A509" s="1">
        <f>IF(C509="","",COUNTA(C$4:C509))</f>
        <v>502</v>
      </c>
      <c r="B509" s="1" t="s">
        <v>982</v>
      </c>
      <c r="C509" s="1" t="s">
        <v>983</v>
      </c>
      <c r="E509">
        <f t="shared" si="7"/>
        <v>0</v>
      </c>
    </row>
    <row r="510" spans="1:5">
      <c r="A510" s="1">
        <f>IF(C510="","",COUNTA(C$4:C510))</f>
        <v>503</v>
      </c>
      <c r="B510" s="1" t="s">
        <v>984</v>
      </c>
      <c r="C510" s="1" t="s">
        <v>985</v>
      </c>
      <c r="E510">
        <f t="shared" si="7"/>
        <v>0</v>
      </c>
    </row>
    <row r="511" spans="1:5">
      <c r="A511" s="1">
        <f>IF(C511="","",COUNTA(C$4:C511))</f>
        <v>504</v>
      </c>
      <c r="B511" s="1" t="s">
        <v>984</v>
      </c>
      <c r="C511" s="1" t="s">
        <v>986</v>
      </c>
      <c r="E511">
        <f t="shared" si="7"/>
        <v>0</v>
      </c>
    </row>
    <row r="512" spans="1:5">
      <c r="A512" s="1">
        <f>IF(C512="","",COUNTA(C$4:C512))</f>
        <v>505</v>
      </c>
      <c r="B512" s="1" t="s">
        <v>987</v>
      </c>
      <c r="C512" s="1" t="s">
        <v>988</v>
      </c>
      <c r="E512">
        <f t="shared" si="7"/>
        <v>0</v>
      </c>
    </row>
    <row r="513" spans="1:5">
      <c r="A513" s="1">
        <f>IF(C513="","",COUNTA(C$4:C513))</f>
        <v>506</v>
      </c>
      <c r="B513" s="1" t="s">
        <v>989</v>
      </c>
      <c r="C513" s="1" t="s">
        <v>990</v>
      </c>
      <c r="E513">
        <f t="shared" si="7"/>
        <v>0</v>
      </c>
    </row>
    <row r="514" spans="1:5">
      <c r="A514" s="1">
        <f>IF(C514="","",COUNTA(C$4:C514))</f>
        <v>507</v>
      </c>
      <c r="B514" s="1" t="s">
        <v>991</v>
      </c>
      <c r="C514" s="1" t="s">
        <v>992</v>
      </c>
      <c r="E514">
        <f t="shared" si="7"/>
        <v>0</v>
      </c>
    </row>
    <row r="515" spans="1:5">
      <c r="A515" s="1">
        <f>IF(C515="","",COUNTA(C$4:C515))</f>
        <v>508</v>
      </c>
      <c r="B515" s="1" t="s">
        <v>993</v>
      </c>
      <c r="C515" s="1" t="s">
        <v>994</v>
      </c>
      <c r="E515">
        <f t="shared" si="7"/>
        <v>0</v>
      </c>
    </row>
    <row r="516" spans="1:5">
      <c r="A516" s="1">
        <f>IF(C516="","",COUNTA(C$4:C516))</f>
        <v>509</v>
      </c>
      <c r="B516" s="1" t="s">
        <v>995</v>
      </c>
      <c r="C516" s="1" t="s">
        <v>996</v>
      </c>
      <c r="E516">
        <f t="shared" si="7"/>
        <v>0</v>
      </c>
    </row>
    <row r="517" spans="1:5">
      <c r="A517" s="1">
        <f>IF(C517="","",COUNTA(C$4:C517))</f>
        <v>510</v>
      </c>
      <c r="B517" s="1" t="s">
        <v>997</v>
      </c>
      <c r="C517" s="1" t="s">
        <v>998</v>
      </c>
      <c r="E517">
        <f t="shared" ref="E517:E580" si="8">IF(C517=D517,1,0)</f>
        <v>0</v>
      </c>
    </row>
    <row r="518" spans="1:5">
      <c r="A518" s="1">
        <f>IF(C518="","",COUNTA(C$4:C518))</f>
        <v>511</v>
      </c>
      <c r="B518" s="1" t="s">
        <v>999</v>
      </c>
      <c r="C518" s="1" t="s">
        <v>1000</v>
      </c>
      <c r="E518">
        <f t="shared" si="8"/>
        <v>0</v>
      </c>
    </row>
    <row r="519" spans="1:5">
      <c r="A519" s="1">
        <f>IF(C519="","",COUNTA(C$4:C519))</f>
        <v>512</v>
      </c>
      <c r="B519" s="1" t="s">
        <v>1001</v>
      </c>
      <c r="C519" s="1" t="s">
        <v>1002</v>
      </c>
      <c r="E519">
        <f t="shared" si="8"/>
        <v>0</v>
      </c>
    </row>
    <row r="520" spans="1:5">
      <c r="A520" s="1">
        <f>IF(C520="","",COUNTA(C$4:C520))</f>
        <v>513</v>
      </c>
      <c r="B520" s="1" t="s">
        <v>1003</v>
      </c>
      <c r="C520" s="1" t="s">
        <v>1004</v>
      </c>
      <c r="E520">
        <f t="shared" si="8"/>
        <v>0</v>
      </c>
    </row>
    <row r="521" spans="1:5">
      <c r="A521" s="1">
        <f>IF(C521="","",COUNTA(C$4:C521))</f>
        <v>514</v>
      </c>
      <c r="B521" s="1" t="s">
        <v>1005</v>
      </c>
      <c r="C521" s="1" t="s">
        <v>1006</v>
      </c>
      <c r="E521">
        <f t="shared" si="8"/>
        <v>0</v>
      </c>
    </row>
    <row r="522" spans="1:5">
      <c r="A522" s="1">
        <f>IF(C522="","",COUNTA(C$4:C522))</f>
        <v>515</v>
      </c>
      <c r="B522" s="1" t="s">
        <v>1007</v>
      </c>
      <c r="C522" s="1" t="s">
        <v>1008</v>
      </c>
      <c r="E522">
        <f t="shared" si="8"/>
        <v>0</v>
      </c>
    </row>
    <row r="523" spans="1:5">
      <c r="A523" s="1">
        <f>IF(C523="","",COUNTA(C$4:C523))</f>
        <v>516</v>
      </c>
      <c r="B523" s="1" t="s">
        <v>1009</v>
      </c>
      <c r="C523" s="1" t="s">
        <v>1010</v>
      </c>
      <c r="E523">
        <f t="shared" si="8"/>
        <v>0</v>
      </c>
    </row>
    <row r="524" spans="1:5">
      <c r="A524" s="1">
        <f>IF(C524="","",COUNTA(C$4:C524))</f>
        <v>517</v>
      </c>
      <c r="B524" s="1" t="s">
        <v>1011</v>
      </c>
      <c r="C524" s="1" t="s">
        <v>1012</v>
      </c>
      <c r="E524">
        <f t="shared" si="8"/>
        <v>0</v>
      </c>
    </row>
    <row r="525" spans="1:5">
      <c r="A525" s="1">
        <f>IF(C525="","",COUNTA(C$4:C525))</f>
        <v>518</v>
      </c>
      <c r="B525" s="1" t="s">
        <v>1013</v>
      </c>
      <c r="C525" s="1" t="s">
        <v>1014</v>
      </c>
      <c r="E525">
        <f t="shared" si="8"/>
        <v>0</v>
      </c>
    </row>
    <row r="526" spans="1:5">
      <c r="A526" s="1">
        <f>IF(C526="","",COUNTA(C$4:C526))</f>
        <v>519</v>
      </c>
      <c r="B526" s="1" t="s">
        <v>1015</v>
      </c>
      <c r="C526" s="1" t="s">
        <v>1016</v>
      </c>
      <c r="E526">
        <f t="shared" si="8"/>
        <v>0</v>
      </c>
    </row>
    <row r="527" spans="1:5">
      <c r="A527" s="1">
        <f>IF(C527="","",COUNTA(C$4:C527))</f>
        <v>520</v>
      </c>
      <c r="B527" s="1" t="s">
        <v>1017</v>
      </c>
      <c r="C527" s="1" t="s">
        <v>1018</v>
      </c>
      <c r="E527">
        <f t="shared" si="8"/>
        <v>0</v>
      </c>
    </row>
    <row r="528" spans="1:5">
      <c r="A528" s="1">
        <f>IF(C528="","",COUNTA(C$4:C528))</f>
        <v>521</v>
      </c>
      <c r="B528" s="1" t="s">
        <v>1019</v>
      </c>
      <c r="C528" s="1" t="s">
        <v>1020</v>
      </c>
      <c r="E528">
        <f t="shared" si="8"/>
        <v>0</v>
      </c>
    </row>
    <row r="529" spans="1:5">
      <c r="A529" s="1">
        <f>IF(C529="","",COUNTA(C$4:C529))</f>
        <v>522</v>
      </c>
      <c r="B529" s="1" t="s">
        <v>1021</v>
      </c>
      <c r="C529" s="1" t="s">
        <v>1022</v>
      </c>
      <c r="E529">
        <f t="shared" si="8"/>
        <v>0</v>
      </c>
    </row>
    <row r="530" spans="1:5">
      <c r="A530" s="1">
        <f>IF(C530="","",COUNTA(C$4:C530))</f>
        <v>523</v>
      </c>
      <c r="B530" s="1" t="s">
        <v>1023</v>
      </c>
      <c r="C530" s="1" t="s">
        <v>1024</v>
      </c>
      <c r="E530">
        <f t="shared" si="8"/>
        <v>0</v>
      </c>
    </row>
    <row r="531" spans="1:5">
      <c r="A531" s="1">
        <f>IF(C531="","",COUNTA(C$4:C531))</f>
        <v>524</v>
      </c>
      <c r="B531" s="1" t="s">
        <v>1025</v>
      </c>
      <c r="C531" s="1" t="s">
        <v>1026</v>
      </c>
      <c r="E531">
        <f t="shared" si="8"/>
        <v>0</v>
      </c>
    </row>
    <row r="532" spans="1:5">
      <c r="A532" s="1">
        <f>IF(C532="","",COUNTA(C$4:C532))</f>
        <v>525</v>
      </c>
      <c r="B532" s="1" t="s">
        <v>1027</v>
      </c>
      <c r="C532" s="1" t="s">
        <v>1028</v>
      </c>
      <c r="E532">
        <f t="shared" si="8"/>
        <v>0</v>
      </c>
    </row>
    <row r="533" spans="1:5">
      <c r="A533" s="1">
        <f>IF(C533="","",COUNTA(C$4:C533))</f>
        <v>526</v>
      </c>
      <c r="B533" s="1" t="s">
        <v>1029</v>
      </c>
      <c r="C533" s="1" t="s">
        <v>1030</v>
      </c>
      <c r="E533">
        <f t="shared" si="8"/>
        <v>0</v>
      </c>
    </row>
    <row r="534" spans="1:5">
      <c r="A534" s="1">
        <f>IF(C534="","",COUNTA(C$4:C534))</f>
        <v>527</v>
      </c>
      <c r="B534" s="1" t="s">
        <v>1031</v>
      </c>
      <c r="C534" s="1" t="s">
        <v>1032</v>
      </c>
      <c r="E534">
        <f t="shared" si="8"/>
        <v>0</v>
      </c>
    </row>
    <row r="535" spans="1:5">
      <c r="A535" s="1">
        <f>IF(C535="","",COUNTA(C$4:C535))</f>
        <v>528</v>
      </c>
      <c r="B535" s="1" t="s">
        <v>1033</v>
      </c>
      <c r="C535" s="1" t="s">
        <v>1034</v>
      </c>
      <c r="E535">
        <f t="shared" si="8"/>
        <v>0</v>
      </c>
    </row>
    <row r="536" spans="1:5">
      <c r="A536" s="1">
        <f>IF(C536="","",COUNTA(C$4:C536))</f>
        <v>529</v>
      </c>
      <c r="B536" s="1" t="s">
        <v>1035</v>
      </c>
      <c r="C536" s="1" t="s">
        <v>1036</v>
      </c>
      <c r="E536">
        <f t="shared" si="8"/>
        <v>0</v>
      </c>
    </row>
    <row r="537" spans="1:5">
      <c r="A537" s="1">
        <f>IF(C537="","",COUNTA(C$4:C537))</f>
        <v>530</v>
      </c>
      <c r="B537" s="1" t="s">
        <v>315</v>
      </c>
      <c r="C537" s="1" t="s">
        <v>1037</v>
      </c>
      <c r="E537">
        <f t="shared" si="8"/>
        <v>0</v>
      </c>
    </row>
    <row r="538" spans="1:5">
      <c r="A538" s="1">
        <f>IF(C538="","",COUNTA(C$4:C538))</f>
        <v>531</v>
      </c>
      <c r="B538" s="1" t="s">
        <v>1038</v>
      </c>
      <c r="C538" s="1" t="s">
        <v>1039</v>
      </c>
      <c r="E538">
        <f t="shared" si="8"/>
        <v>0</v>
      </c>
    </row>
    <row r="539" spans="1:5">
      <c r="A539" s="1">
        <f>IF(C539="","",COUNTA(C$4:C539))</f>
        <v>532</v>
      </c>
      <c r="B539" s="1" t="s">
        <v>1040</v>
      </c>
      <c r="C539" s="1" t="s">
        <v>1041</v>
      </c>
      <c r="E539">
        <f t="shared" si="8"/>
        <v>0</v>
      </c>
    </row>
    <row r="540" spans="1:5">
      <c r="A540" s="1">
        <f>IF(C540="","",COUNTA(C$4:C540))</f>
        <v>533</v>
      </c>
      <c r="B540" s="1" t="s">
        <v>1042</v>
      </c>
      <c r="C540" s="1" t="s">
        <v>1043</v>
      </c>
      <c r="E540">
        <f t="shared" si="8"/>
        <v>0</v>
      </c>
    </row>
    <row r="541" spans="1:5">
      <c r="A541" s="1">
        <f>IF(C541="","",COUNTA(C$4:C541))</f>
        <v>534</v>
      </c>
      <c r="B541" s="1" t="s">
        <v>1044</v>
      </c>
      <c r="C541" s="1" t="s">
        <v>1045</v>
      </c>
      <c r="E541">
        <f t="shared" si="8"/>
        <v>0</v>
      </c>
    </row>
    <row r="542" spans="1:5">
      <c r="A542" s="1">
        <f>IF(C542="","",COUNTA(C$4:C542))</f>
        <v>535</v>
      </c>
      <c r="B542" s="1" t="s">
        <v>1042</v>
      </c>
      <c r="C542" s="1" t="s">
        <v>1046</v>
      </c>
      <c r="E542">
        <f t="shared" si="8"/>
        <v>0</v>
      </c>
    </row>
    <row r="543" spans="1:5">
      <c r="A543" s="1">
        <f>IF(C543="","",COUNTA(C$4:C543))</f>
        <v>536</v>
      </c>
      <c r="B543" s="1" t="s">
        <v>1047</v>
      </c>
      <c r="C543" s="1" t="s">
        <v>1048</v>
      </c>
      <c r="E543">
        <f t="shared" si="8"/>
        <v>0</v>
      </c>
    </row>
    <row r="544" spans="1:5">
      <c r="A544" s="1">
        <f>IF(C544="","",COUNTA(C$4:C544))</f>
        <v>537</v>
      </c>
      <c r="B544" s="1" t="s">
        <v>1049</v>
      </c>
      <c r="C544" s="1" t="s">
        <v>1050</v>
      </c>
      <c r="E544">
        <f t="shared" si="8"/>
        <v>0</v>
      </c>
    </row>
    <row r="545" spans="1:5">
      <c r="A545" s="1">
        <f>IF(C545="","",COUNTA(C$4:C545))</f>
        <v>538</v>
      </c>
      <c r="B545" s="1" t="s">
        <v>1051</v>
      </c>
      <c r="C545" s="1" t="s">
        <v>1052</v>
      </c>
      <c r="E545">
        <f t="shared" si="8"/>
        <v>0</v>
      </c>
    </row>
    <row r="546" spans="1:5">
      <c r="A546" s="1">
        <f>IF(C546="","",COUNTA(C$4:C546))</f>
        <v>539</v>
      </c>
      <c r="B546" s="1" t="s">
        <v>1053</v>
      </c>
      <c r="C546" s="1" t="s">
        <v>1054</v>
      </c>
      <c r="E546">
        <f t="shared" si="8"/>
        <v>0</v>
      </c>
    </row>
    <row r="547" spans="1:5">
      <c r="A547" s="1">
        <f>IF(C547="","",COUNTA(C$4:C547))</f>
        <v>540</v>
      </c>
      <c r="B547" s="1" t="s">
        <v>1055</v>
      </c>
      <c r="C547" s="1" t="s">
        <v>1056</v>
      </c>
      <c r="E547">
        <f t="shared" si="8"/>
        <v>0</v>
      </c>
    </row>
    <row r="548" spans="1:5">
      <c r="A548" s="1">
        <f>IF(C548="","",COUNTA(C$4:C548))</f>
        <v>541</v>
      </c>
      <c r="B548" s="1" t="s">
        <v>1057</v>
      </c>
      <c r="C548" s="1" t="s">
        <v>1058</v>
      </c>
      <c r="E548">
        <f t="shared" si="8"/>
        <v>0</v>
      </c>
    </row>
    <row r="549" spans="1:5">
      <c r="A549" s="1">
        <f>IF(C549="","",COUNTA(C$4:C549))</f>
        <v>542</v>
      </c>
      <c r="B549" s="1" t="s">
        <v>1059</v>
      </c>
      <c r="C549" s="1" t="s">
        <v>1060</v>
      </c>
      <c r="E549">
        <f t="shared" si="8"/>
        <v>0</v>
      </c>
    </row>
    <row r="550" spans="1:5">
      <c r="A550" s="1">
        <f>IF(C550="","",COUNTA(C$4:C550))</f>
        <v>543</v>
      </c>
      <c r="B550" s="1" t="s">
        <v>1061</v>
      </c>
      <c r="C550" s="1" t="s">
        <v>1062</v>
      </c>
      <c r="E550">
        <f t="shared" si="8"/>
        <v>0</v>
      </c>
    </row>
    <row r="551" spans="1:5">
      <c r="A551" s="1">
        <f>IF(C551="","",COUNTA(C$4:C551))</f>
        <v>544</v>
      </c>
      <c r="B551" s="1" t="s">
        <v>1063</v>
      </c>
      <c r="C551" s="1" t="s">
        <v>1064</v>
      </c>
      <c r="E551">
        <f t="shared" si="8"/>
        <v>0</v>
      </c>
    </row>
    <row r="552" spans="1:5">
      <c r="A552" s="1">
        <f>IF(C552="","",COUNTA(C$4:C552))</f>
        <v>545</v>
      </c>
      <c r="B552" s="1" t="s">
        <v>1065</v>
      </c>
      <c r="C552" s="1" t="s">
        <v>1066</v>
      </c>
      <c r="E552">
        <f t="shared" si="8"/>
        <v>0</v>
      </c>
    </row>
    <row r="553" spans="1:5">
      <c r="A553" s="1">
        <f>IF(C553="","",COUNTA(C$4:C553))</f>
        <v>546</v>
      </c>
      <c r="B553" s="1" t="s">
        <v>1067</v>
      </c>
      <c r="C553" s="1" t="s">
        <v>1068</v>
      </c>
      <c r="E553">
        <f t="shared" si="8"/>
        <v>0</v>
      </c>
    </row>
    <row r="554" spans="1:5">
      <c r="A554" s="1">
        <f>IF(C554="","",COUNTA(C$4:C554))</f>
        <v>547</v>
      </c>
      <c r="B554" s="1" t="s">
        <v>1069</v>
      </c>
      <c r="C554" s="1" t="s">
        <v>1070</v>
      </c>
      <c r="E554">
        <f t="shared" si="8"/>
        <v>0</v>
      </c>
    </row>
    <row r="555" spans="1:5">
      <c r="A555" s="1">
        <f>IF(C555="","",COUNTA(C$4:C555))</f>
        <v>548</v>
      </c>
      <c r="B555" s="1" t="s">
        <v>1071</v>
      </c>
      <c r="C555" s="1" t="s">
        <v>1072</v>
      </c>
      <c r="E555">
        <f t="shared" si="8"/>
        <v>0</v>
      </c>
    </row>
    <row r="556" spans="1:5">
      <c r="A556" s="1">
        <f>IF(C556="","",COUNTA(C$4:C556))</f>
        <v>549</v>
      </c>
      <c r="B556" s="1" t="s">
        <v>1073</v>
      </c>
      <c r="C556" s="1" t="s">
        <v>1074</v>
      </c>
      <c r="E556">
        <f t="shared" si="8"/>
        <v>0</v>
      </c>
    </row>
    <row r="557" spans="1:5">
      <c r="A557" s="1">
        <f>IF(C557="","",COUNTA(C$4:C557))</f>
        <v>550</v>
      </c>
      <c r="B557" s="1" t="s">
        <v>1075</v>
      </c>
      <c r="C557" s="1" t="s">
        <v>1076</v>
      </c>
      <c r="E557">
        <f t="shared" si="8"/>
        <v>0</v>
      </c>
    </row>
    <row r="558" spans="1:5">
      <c r="A558" s="1">
        <f>IF(C558="","",COUNTA(C$4:C558))</f>
        <v>551</v>
      </c>
      <c r="B558" s="1" t="s">
        <v>1077</v>
      </c>
      <c r="C558" s="1" t="s">
        <v>1078</v>
      </c>
      <c r="E558">
        <f t="shared" si="8"/>
        <v>0</v>
      </c>
    </row>
    <row r="559" spans="1:5">
      <c r="A559" s="1">
        <f>IF(C559="","",COUNTA(C$4:C559))</f>
        <v>552</v>
      </c>
      <c r="B559" s="1" t="s">
        <v>1079</v>
      </c>
      <c r="C559" s="1" t="s">
        <v>1080</v>
      </c>
      <c r="E559">
        <f t="shared" si="8"/>
        <v>0</v>
      </c>
    </row>
    <row r="560" spans="1:5">
      <c r="A560" s="1">
        <f>IF(C560="","",COUNTA(C$4:C560))</f>
        <v>553</v>
      </c>
      <c r="B560" s="1" t="s">
        <v>1081</v>
      </c>
      <c r="C560" s="1" t="s">
        <v>1082</v>
      </c>
      <c r="E560">
        <f t="shared" si="8"/>
        <v>0</v>
      </c>
    </row>
    <row r="561" spans="1:5">
      <c r="A561" s="1">
        <f>IF(C561="","",COUNTA(C$4:C561))</f>
        <v>554</v>
      </c>
      <c r="B561" s="1" t="s">
        <v>1083</v>
      </c>
      <c r="C561" s="1" t="s">
        <v>1084</v>
      </c>
      <c r="E561">
        <f t="shared" si="8"/>
        <v>0</v>
      </c>
    </row>
    <row r="562" spans="1:5">
      <c r="A562" s="1">
        <f>IF(C562="","",COUNTA(C$4:C562))</f>
        <v>555</v>
      </c>
      <c r="B562" s="1" t="s">
        <v>1085</v>
      </c>
      <c r="C562" s="1" t="s">
        <v>1086</v>
      </c>
      <c r="E562">
        <f t="shared" si="8"/>
        <v>0</v>
      </c>
    </row>
    <row r="563" spans="1:5">
      <c r="A563" s="1">
        <f>IF(C563="","",COUNTA(C$4:C563))</f>
        <v>556</v>
      </c>
      <c r="B563" s="1" t="s">
        <v>1087</v>
      </c>
      <c r="C563" s="1" t="s">
        <v>1088</v>
      </c>
      <c r="E563">
        <f t="shared" si="8"/>
        <v>0</v>
      </c>
    </row>
    <row r="564" spans="1:5">
      <c r="A564" s="1">
        <f>IF(C564="","",COUNTA(C$4:C564))</f>
        <v>557</v>
      </c>
      <c r="B564" s="1" t="s">
        <v>454</v>
      </c>
      <c r="C564" s="1" t="s">
        <v>1089</v>
      </c>
      <c r="E564">
        <f t="shared" si="8"/>
        <v>0</v>
      </c>
    </row>
    <row r="565" spans="1:5">
      <c r="A565" s="1">
        <f>IF(C565="","",COUNTA(C$4:C565))</f>
        <v>558</v>
      </c>
      <c r="B565" s="1" t="s">
        <v>1090</v>
      </c>
      <c r="C565" s="1" t="s">
        <v>1091</v>
      </c>
      <c r="E565">
        <f t="shared" si="8"/>
        <v>0</v>
      </c>
    </row>
    <row r="566" spans="1:5">
      <c r="A566" s="1">
        <f>IF(C566="","",COUNTA(C$4:C566))</f>
        <v>559</v>
      </c>
      <c r="B566" s="1" t="s">
        <v>1092</v>
      </c>
      <c r="C566" s="1" t="s">
        <v>1093</v>
      </c>
      <c r="E566">
        <f t="shared" si="8"/>
        <v>0</v>
      </c>
    </row>
    <row r="567" spans="1:5">
      <c r="A567" s="1">
        <f>IF(C567="","",COUNTA(C$4:C567))</f>
        <v>560</v>
      </c>
      <c r="B567" s="1" t="s">
        <v>1094</v>
      </c>
      <c r="C567" s="1" t="s">
        <v>1095</v>
      </c>
      <c r="E567">
        <f t="shared" si="8"/>
        <v>0</v>
      </c>
    </row>
    <row r="568" spans="1:5">
      <c r="A568" s="1">
        <f>IF(C568="","",COUNTA(C$4:C568))</f>
        <v>561</v>
      </c>
      <c r="B568" s="1" t="s">
        <v>1096</v>
      </c>
      <c r="C568" s="1" t="s">
        <v>1097</v>
      </c>
      <c r="E568">
        <f t="shared" si="8"/>
        <v>0</v>
      </c>
    </row>
    <row r="569" spans="1:5">
      <c r="A569" s="1">
        <f>IF(C569="","",COUNTA(C$4:C569))</f>
        <v>562</v>
      </c>
      <c r="B569" s="1" t="s">
        <v>1057</v>
      </c>
      <c r="C569" s="1" t="s">
        <v>1098</v>
      </c>
      <c r="E569">
        <f t="shared" si="8"/>
        <v>0</v>
      </c>
    </row>
    <row r="570" spans="1:5">
      <c r="A570" s="1">
        <f>IF(C570="","",COUNTA(C$4:C570))</f>
        <v>563</v>
      </c>
      <c r="B570" s="1" t="s">
        <v>1099</v>
      </c>
      <c r="C570" s="1" t="s">
        <v>1100</v>
      </c>
      <c r="E570">
        <f t="shared" si="8"/>
        <v>0</v>
      </c>
    </row>
    <row r="571" spans="1:5">
      <c r="A571" s="1">
        <f>IF(C571="","",COUNTA(C$4:C571))</f>
        <v>564</v>
      </c>
      <c r="B571" s="1" t="s">
        <v>1101</v>
      </c>
      <c r="C571" s="1" t="s">
        <v>1102</v>
      </c>
      <c r="E571">
        <f t="shared" si="8"/>
        <v>0</v>
      </c>
    </row>
    <row r="572" spans="1:5">
      <c r="A572" s="1">
        <f>IF(C572="","",COUNTA(C$4:C572))</f>
        <v>565</v>
      </c>
      <c r="B572" s="1" t="s">
        <v>1103</v>
      </c>
      <c r="C572" s="1" t="s">
        <v>1104</v>
      </c>
      <c r="E572">
        <f t="shared" si="8"/>
        <v>0</v>
      </c>
    </row>
    <row r="573" spans="1:5">
      <c r="A573" s="1">
        <f>IF(C573="","",COUNTA(C$4:C573))</f>
        <v>566</v>
      </c>
      <c r="B573" s="1" t="s">
        <v>1105</v>
      </c>
      <c r="C573" s="1" t="s">
        <v>1106</v>
      </c>
      <c r="E573">
        <f t="shared" si="8"/>
        <v>0</v>
      </c>
    </row>
    <row r="574" spans="1:5">
      <c r="A574" s="1">
        <f>IF(C574="","",COUNTA(C$4:C574))</f>
        <v>567</v>
      </c>
      <c r="B574" s="1" t="s">
        <v>1107</v>
      </c>
      <c r="C574" s="1" t="s">
        <v>1108</v>
      </c>
      <c r="E574">
        <f t="shared" si="8"/>
        <v>0</v>
      </c>
    </row>
    <row r="575" spans="1:5">
      <c r="A575" s="1">
        <f>IF(C575="","",COUNTA(C$4:C575))</f>
        <v>568</v>
      </c>
      <c r="B575" s="1" t="s">
        <v>1109</v>
      </c>
      <c r="C575" s="1" t="s">
        <v>1110</v>
      </c>
      <c r="E575">
        <f t="shared" si="8"/>
        <v>0</v>
      </c>
    </row>
    <row r="576" spans="1:5">
      <c r="A576" s="1">
        <f>IF(C576="","",COUNTA(C$4:C576))</f>
        <v>569</v>
      </c>
      <c r="B576" s="1" t="s">
        <v>1111</v>
      </c>
      <c r="C576" s="1" t="s">
        <v>1112</v>
      </c>
      <c r="E576">
        <f t="shared" si="8"/>
        <v>0</v>
      </c>
    </row>
    <row r="577" spans="1:5">
      <c r="A577" s="1">
        <f>IF(C577="","",COUNTA(C$4:C577))</f>
        <v>570</v>
      </c>
      <c r="B577" s="1" t="s">
        <v>1113</v>
      </c>
      <c r="C577" s="1" t="s">
        <v>1114</v>
      </c>
      <c r="E577">
        <f t="shared" si="8"/>
        <v>0</v>
      </c>
    </row>
    <row r="578" spans="1:5">
      <c r="A578" s="1">
        <f>IF(C578="","",COUNTA(C$4:C578))</f>
        <v>571</v>
      </c>
      <c r="B578" s="1" t="s">
        <v>1115</v>
      </c>
      <c r="C578" s="1" t="s">
        <v>1116</v>
      </c>
      <c r="E578">
        <f t="shared" si="8"/>
        <v>0</v>
      </c>
    </row>
    <row r="579" spans="1:5">
      <c r="A579" s="1">
        <f>IF(C579="","",COUNTA(C$4:C579))</f>
        <v>572</v>
      </c>
      <c r="B579" s="1" t="s">
        <v>1117</v>
      </c>
      <c r="C579" s="1" t="s">
        <v>1118</v>
      </c>
      <c r="E579">
        <f t="shared" si="8"/>
        <v>0</v>
      </c>
    </row>
    <row r="580" spans="1:5">
      <c r="A580" s="1">
        <f>IF(C580="","",COUNTA(C$4:C580))</f>
        <v>573</v>
      </c>
      <c r="B580" s="1" t="s">
        <v>1119</v>
      </c>
      <c r="C580" s="1" t="s">
        <v>1120</v>
      </c>
      <c r="E580">
        <f t="shared" si="8"/>
        <v>0</v>
      </c>
    </row>
    <row r="581" spans="1:5">
      <c r="A581" s="1">
        <f>IF(C581="","",COUNTA(C$4:C581))</f>
        <v>574</v>
      </c>
      <c r="B581" s="1" t="s">
        <v>1121</v>
      </c>
      <c r="C581" s="1" t="s">
        <v>1122</v>
      </c>
      <c r="E581">
        <f t="shared" ref="E581:E644" si="9">IF(C581=D581,1,0)</f>
        <v>0</v>
      </c>
    </row>
    <row r="582" spans="1:5">
      <c r="A582" s="1">
        <f>IF(C582="","",COUNTA(C$4:C582))</f>
        <v>575</v>
      </c>
      <c r="B582" s="1" t="s">
        <v>1123</v>
      </c>
      <c r="C582" s="1" t="s">
        <v>1124</v>
      </c>
      <c r="E582">
        <f t="shared" si="9"/>
        <v>0</v>
      </c>
    </row>
    <row r="583" spans="1:5">
      <c r="A583" s="1">
        <f>IF(C583="","",COUNTA(C$4:C583))</f>
        <v>576</v>
      </c>
      <c r="B583" s="1" t="s">
        <v>1125</v>
      </c>
      <c r="C583" s="1" t="s">
        <v>1126</v>
      </c>
      <c r="E583">
        <f t="shared" si="9"/>
        <v>0</v>
      </c>
    </row>
    <row r="584" spans="1:5">
      <c r="A584" s="1">
        <f>IF(C584="","",COUNTA(C$4:C584))</f>
        <v>577</v>
      </c>
      <c r="B584" s="1" t="s">
        <v>1127</v>
      </c>
      <c r="C584" s="1" t="s">
        <v>1128</v>
      </c>
      <c r="E584">
        <f t="shared" si="9"/>
        <v>0</v>
      </c>
    </row>
    <row r="585" spans="1:5">
      <c r="A585" s="1">
        <f>IF(C585="","",COUNTA(C$4:C585))</f>
        <v>578</v>
      </c>
      <c r="B585" s="1" t="s">
        <v>1129</v>
      </c>
      <c r="C585" s="1" t="s">
        <v>1130</v>
      </c>
      <c r="E585">
        <f t="shared" si="9"/>
        <v>0</v>
      </c>
    </row>
    <row r="586" spans="1:5">
      <c r="A586" s="1">
        <f>IF(C586="","",COUNTA(C$4:C586))</f>
        <v>579</v>
      </c>
      <c r="B586" s="1" t="s">
        <v>1131</v>
      </c>
      <c r="C586" s="1" t="s">
        <v>1132</v>
      </c>
      <c r="E586">
        <f t="shared" si="9"/>
        <v>0</v>
      </c>
    </row>
    <row r="587" spans="1:5">
      <c r="A587" s="1">
        <f>IF(C587="","",COUNTA(C$4:C587))</f>
        <v>580</v>
      </c>
      <c r="B587" s="1" t="s">
        <v>1133</v>
      </c>
      <c r="C587" s="1" t="s">
        <v>1134</v>
      </c>
      <c r="E587">
        <f t="shared" si="9"/>
        <v>0</v>
      </c>
    </row>
    <row r="588" spans="1:5">
      <c r="A588" s="1">
        <f>IF(C588="","",COUNTA(C$4:C588))</f>
        <v>581</v>
      </c>
      <c r="B588" s="1" t="s">
        <v>1135</v>
      </c>
      <c r="C588" s="1" t="s">
        <v>1136</v>
      </c>
      <c r="E588">
        <f t="shared" si="9"/>
        <v>0</v>
      </c>
    </row>
    <row r="589" spans="1:5">
      <c r="A589" s="1">
        <f>IF(C589="","",COUNTA(C$4:C589))</f>
        <v>582</v>
      </c>
      <c r="B589" s="1" t="s">
        <v>1137</v>
      </c>
      <c r="C589" s="1" t="s">
        <v>1138</v>
      </c>
      <c r="E589">
        <f t="shared" si="9"/>
        <v>0</v>
      </c>
    </row>
    <row r="590" spans="1:5">
      <c r="A590" s="1">
        <f>IF(C590="","",COUNTA(C$4:C590))</f>
        <v>583</v>
      </c>
      <c r="B590" s="1" t="s">
        <v>1139</v>
      </c>
      <c r="C590" s="1" t="s">
        <v>1140</v>
      </c>
      <c r="E590">
        <f t="shared" si="9"/>
        <v>0</v>
      </c>
    </row>
    <row r="591" spans="1:5">
      <c r="A591" s="1">
        <f>IF(C591="","",COUNTA(C$4:C591))</f>
        <v>584</v>
      </c>
      <c r="B591" s="1" t="s">
        <v>1141</v>
      </c>
      <c r="C591" s="1" t="s">
        <v>1142</v>
      </c>
      <c r="E591">
        <f t="shared" si="9"/>
        <v>0</v>
      </c>
    </row>
    <row r="592" spans="1:5">
      <c r="A592" s="1">
        <f>IF(C592="","",COUNTA(C$4:C592))</f>
        <v>585</v>
      </c>
      <c r="B592" s="1" t="s">
        <v>1143</v>
      </c>
      <c r="C592" s="1" t="s">
        <v>1144</v>
      </c>
      <c r="E592">
        <f t="shared" si="9"/>
        <v>0</v>
      </c>
    </row>
    <row r="593" spans="1:5">
      <c r="A593" s="1">
        <f>IF(C593="","",COUNTA(C$4:C593))</f>
        <v>586</v>
      </c>
      <c r="B593" s="1" t="s">
        <v>1145</v>
      </c>
      <c r="C593" s="1" t="s">
        <v>1146</v>
      </c>
      <c r="E593">
        <f t="shared" si="9"/>
        <v>0</v>
      </c>
    </row>
    <row r="594" spans="1:5">
      <c r="A594" s="1">
        <f>IF(C594="","",COUNTA(C$4:C594))</f>
        <v>587</v>
      </c>
      <c r="B594" s="1" t="s">
        <v>1147</v>
      </c>
      <c r="C594" s="1" t="s">
        <v>1148</v>
      </c>
      <c r="E594">
        <f t="shared" si="9"/>
        <v>0</v>
      </c>
    </row>
    <row r="595" spans="1:5">
      <c r="A595" s="1">
        <f>IF(C595="","",COUNTA(C$4:C595))</f>
        <v>588</v>
      </c>
      <c r="B595" s="1" t="s">
        <v>1149</v>
      </c>
      <c r="C595" s="1" t="s">
        <v>1150</v>
      </c>
      <c r="E595">
        <f t="shared" si="9"/>
        <v>0</v>
      </c>
    </row>
    <row r="596" spans="1:5">
      <c r="A596" s="1">
        <f>IF(C596="","",COUNTA(C$4:C596))</f>
        <v>589</v>
      </c>
      <c r="B596" s="1" t="s">
        <v>1151</v>
      </c>
      <c r="C596" s="1" t="s">
        <v>1152</v>
      </c>
      <c r="E596">
        <f t="shared" si="9"/>
        <v>0</v>
      </c>
    </row>
    <row r="597" spans="1:5">
      <c r="A597" s="1">
        <f>IF(C597="","",COUNTA(C$4:C597))</f>
        <v>590</v>
      </c>
      <c r="B597" s="1" t="s">
        <v>1153</v>
      </c>
      <c r="C597" s="1" t="s">
        <v>1154</v>
      </c>
      <c r="E597">
        <f t="shared" si="9"/>
        <v>0</v>
      </c>
    </row>
    <row r="598" spans="1:5">
      <c r="A598" s="1">
        <f>IF(C598="","",COUNTA(C$4:C598))</f>
        <v>591</v>
      </c>
      <c r="B598" s="1" t="s">
        <v>1155</v>
      </c>
      <c r="C598" s="1" t="s">
        <v>1156</v>
      </c>
      <c r="E598">
        <f t="shared" si="9"/>
        <v>0</v>
      </c>
    </row>
    <row r="599" spans="1:5">
      <c r="A599" s="1">
        <f>IF(C599="","",COUNTA(C$4:C599))</f>
        <v>592</v>
      </c>
      <c r="B599" s="1" t="s">
        <v>1157</v>
      </c>
      <c r="C599" s="1" t="s">
        <v>1158</v>
      </c>
      <c r="E599">
        <f t="shared" si="9"/>
        <v>0</v>
      </c>
    </row>
    <row r="600" spans="1:5">
      <c r="A600" s="1">
        <f>IF(C600="","",COUNTA(C$4:C600))</f>
        <v>593</v>
      </c>
      <c r="B600" s="1" t="s">
        <v>1159</v>
      </c>
      <c r="C600" s="1" t="s">
        <v>1160</v>
      </c>
      <c r="E600">
        <f t="shared" si="9"/>
        <v>0</v>
      </c>
    </row>
    <row r="601" spans="1:5">
      <c r="A601" s="1">
        <f>IF(C601="","",COUNTA(C$4:C601))</f>
        <v>594</v>
      </c>
      <c r="B601" s="1" t="s">
        <v>1161</v>
      </c>
      <c r="C601" s="1" t="s">
        <v>1162</v>
      </c>
      <c r="E601">
        <f t="shared" si="9"/>
        <v>0</v>
      </c>
    </row>
    <row r="602" spans="1:5">
      <c r="A602" s="1">
        <f>IF(C602="","",COUNTA(C$4:C602))</f>
        <v>595</v>
      </c>
      <c r="B602" s="1" t="s">
        <v>1163</v>
      </c>
      <c r="C602" s="1" t="s">
        <v>1164</v>
      </c>
      <c r="E602">
        <f t="shared" si="9"/>
        <v>0</v>
      </c>
    </row>
    <row r="603" spans="1:5">
      <c r="A603" s="1">
        <f>IF(C603="","",COUNTA(C$4:C603))</f>
        <v>596</v>
      </c>
      <c r="B603" s="1" t="s">
        <v>1165</v>
      </c>
      <c r="C603" s="1" t="s">
        <v>1166</v>
      </c>
      <c r="E603">
        <f t="shared" si="9"/>
        <v>0</v>
      </c>
    </row>
    <row r="604" spans="1:5">
      <c r="A604" s="1">
        <f>IF(C604="","",COUNTA(C$4:C604))</f>
        <v>597</v>
      </c>
      <c r="B604" s="1" t="s">
        <v>1167</v>
      </c>
      <c r="C604" s="1" t="s">
        <v>1168</v>
      </c>
      <c r="E604">
        <f t="shared" si="9"/>
        <v>0</v>
      </c>
    </row>
    <row r="605" spans="1:5">
      <c r="A605" s="1">
        <f>IF(C605="","",COUNTA(C$4:C605))</f>
        <v>598</v>
      </c>
      <c r="B605" s="1" t="s">
        <v>1169</v>
      </c>
      <c r="C605" s="1" t="s">
        <v>1170</v>
      </c>
      <c r="E605">
        <f t="shared" si="9"/>
        <v>0</v>
      </c>
    </row>
    <row r="606" spans="1:5">
      <c r="A606" s="1">
        <f>IF(C606="","",COUNTA(C$4:C606))</f>
        <v>599</v>
      </c>
      <c r="B606" s="1" t="s">
        <v>1169</v>
      </c>
      <c r="C606" s="1" t="s">
        <v>1171</v>
      </c>
      <c r="E606">
        <f t="shared" si="9"/>
        <v>0</v>
      </c>
    </row>
    <row r="607" spans="1:5">
      <c r="A607" s="1">
        <f>IF(C607="","",COUNTA(C$4:C607))</f>
        <v>600</v>
      </c>
      <c r="B607" s="1" t="s">
        <v>1172</v>
      </c>
      <c r="C607" s="1" t="s">
        <v>1173</v>
      </c>
      <c r="E607">
        <f t="shared" si="9"/>
        <v>0</v>
      </c>
    </row>
    <row r="608" spans="1:5">
      <c r="A608" s="1">
        <f>IF(C608="","",COUNTA(C$4:C608))</f>
        <v>601</v>
      </c>
      <c r="B608" s="1" t="s">
        <v>1174</v>
      </c>
      <c r="C608" s="1" t="s">
        <v>1175</v>
      </c>
      <c r="E608">
        <f t="shared" si="9"/>
        <v>0</v>
      </c>
    </row>
    <row r="609" spans="1:5">
      <c r="A609" s="1">
        <f>IF(C609="","",COUNTA(C$4:C609))</f>
        <v>602</v>
      </c>
      <c r="B609" s="1" t="s">
        <v>1176</v>
      </c>
      <c r="C609" s="1" t="s">
        <v>1177</v>
      </c>
      <c r="E609">
        <f t="shared" si="9"/>
        <v>0</v>
      </c>
    </row>
    <row r="610" spans="1:5">
      <c r="A610" s="1">
        <f>IF(C610="","",COUNTA(C$4:C610))</f>
        <v>603</v>
      </c>
      <c r="B610" s="1" t="s">
        <v>1176</v>
      </c>
      <c r="C610" s="1" t="s">
        <v>1178</v>
      </c>
      <c r="E610">
        <f t="shared" si="9"/>
        <v>0</v>
      </c>
    </row>
    <row r="611" spans="1:5">
      <c r="A611" s="1">
        <f>IF(C611="","",COUNTA(C$4:C611))</f>
        <v>604</v>
      </c>
      <c r="B611" s="1" t="s">
        <v>1179</v>
      </c>
      <c r="C611" s="1" t="s">
        <v>1180</v>
      </c>
      <c r="E611">
        <f t="shared" si="9"/>
        <v>0</v>
      </c>
    </row>
    <row r="612" spans="1:5">
      <c r="A612" s="1">
        <f>IF(C612="","",COUNTA(C$4:C612))</f>
        <v>605</v>
      </c>
      <c r="B612" s="1" t="s">
        <v>1181</v>
      </c>
      <c r="C612" s="1" t="s">
        <v>1182</v>
      </c>
      <c r="E612">
        <f t="shared" si="9"/>
        <v>0</v>
      </c>
    </row>
    <row r="613" spans="1:5">
      <c r="A613" s="1">
        <f>IF(C613="","",COUNTA(C$4:C613))</f>
        <v>606</v>
      </c>
      <c r="B613" s="1" t="s">
        <v>1183</v>
      </c>
      <c r="C613" s="1" t="s">
        <v>1184</v>
      </c>
      <c r="E613">
        <f t="shared" si="9"/>
        <v>0</v>
      </c>
    </row>
    <row r="614" spans="1:5">
      <c r="A614" s="1">
        <f>IF(C614="","",COUNTA(C$4:C614))</f>
        <v>607</v>
      </c>
      <c r="B614" s="1" t="s">
        <v>1185</v>
      </c>
      <c r="C614" s="1" t="s">
        <v>1186</v>
      </c>
      <c r="E614">
        <f t="shared" si="9"/>
        <v>0</v>
      </c>
    </row>
    <row r="615" spans="1:5">
      <c r="A615" s="1">
        <f>IF(C615="","",COUNTA(C$4:C615))</f>
        <v>608</v>
      </c>
      <c r="B615" s="1" t="s">
        <v>1187</v>
      </c>
      <c r="C615" s="1" t="s">
        <v>1188</v>
      </c>
      <c r="E615">
        <f t="shared" si="9"/>
        <v>0</v>
      </c>
    </row>
    <row r="616" spans="1:5">
      <c r="A616" s="1">
        <f>IF(C616="","",COUNTA(C$4:C616))</f>
        <v>609</v>
      </c>
      <c r="B616" s="1" t="s">
        <v>1189</v>
      </c>
      <c r="C616" s="1" t="s">
        <v>1190</v>
      </c>
      <c r="E616">
        <f t="shared" si="9"/>
        <v>0</v>
      </c>
    </row>
    <row r="617" spans="1:5">
      <c r="A617" s="1">
        <f>IF(C617="","",COUNTA(C$4:C617))</f>
        <v>610</v>
      </c>
      <c r="B617" s="1" t="s">
        <v>1191</v>
      </c>
      <c r="C617" s="1" t="s">
        <v>1192</v>
      </c>
      <c r="E617">
        <f t="shared" si="9"/>
        <v>0</v>
      </c>
    </row>
    <row r="618" spans="1:5">
      <c r="A618" s="1">
        <f>IF(C618="","",COUNTA(C$4:C618))</f>
        <v>611</v>
      </c>
      <c r="B618" s="1" t="s">
        <v>1193</v>
      </c>
      <c r="C618" s="1" t="s">
        <v>1194</v>
      </c>
      <c r="E618">
        <f t="shared" si="9"/>
        <v>0</v>
      </c>
    </row>
    <row r="619" spans="1:5">
      <c r="A619" s="1">
        <f>IF(C619="","",COUNTA(C$4:C619))</f>
        <v>612</v>
      </c>
      <c r="B619" s="1" t="s">
        <v>1195</v>
      </c>
      <c r="C619" s="1" t="s">
        <v>1196</v>
      </c>
      <c r="E619">
        <f t="shared" si="9"/>
        <v>0</v>
      </c>
    </row>
    <row r="620" spans="1:5">
      <c r="A620" s="1">
        <f>IF(C620="","",COUNTA(C$4:C620))</f>
        <v>613</v>
      </c>
      <c r="B620" s="1" t="s">
        <v>1197</v>
      </c>
      <c r="C620" s="1" t="s">
        <v>1198</v>
      </c>
      <c r="E620">
        <f t="shared" si="9"/>
        <v>0</v>
      </c>
    </row>
    <row r="621" spans="1:5">
      <c r="A621" s="1">
        <f>IF(C621="","",COUNTA(C$4:C621))</f>
        <v>614</v>
      </c>
      <c r="B621" s="1" t="s">
        <v>1199</v>
      </c>
      <c r="C621" s="1" t="s">
        <v>1200</v>
      </c>
      <c r="E621">
        <f t="shared" si="9"/>
        <v>0</v>
      </c>
    </row>
    <row r="622" spans="1:5">
      <c r="A622" s="1">
        <f>IF(C622="","",COUNTA(C$4:C622))</f>
        <v>615</v>
      </c>
      <c r="B622" s="1" t="s">
        <v>1201</v>
      </c>
      <c r="C622" s="1" t="s">
        <v>1202</v>
      </c>
      <c r="E622">
        <f t="shared" si="9"/>
        <v>0</v>
      </c>
    </row>
    <row r="623" spans="1:5">
      <c r="A623" s="1">
        <f>IF(C623="","",COUNTA(C$4:C623))</f>
        <v>616</v>
      </c>
      <c r="B623" s="1" t="s">
        <v>1203</v>
      </c>
      <c r="C623" s="1" t="s">
        <v>1204</v>
      </c>
      <c r="E623">
        <f t="shared" si="9"/>
        <v>0</v>
      </c>
    </row>
    <row r="624" spans="1:5">
      <c r="A624" s="1">
        <f>IF(C624="","",COUNTA(C$4:C624))</f>
        <v>617</v>
      </c>
      <c r="B624" s="1" t="s">
        <v>1205</v>
      </c>
      <c r="C624" s="1" t="s">
        <v>1206</v>
      </c>
      <c r="E624">
        <f t="shared" si="9"/>
        <v>0</v>
      </c>
    </row>
    <row r="625" spans="1:5">
      <c r="A625" s="1">
        <f>IF(C625="","",COUNTA(C$4:C625))</f>
        <v>618</v>
      </c>
      <c r="B625" s="1" t="s">
        <v>1207</v>
      </c>
      <c r="C625" s="1" t="s">
        <v>1208</v>
      </c>
      <c r="E625">
        <f t="shared" si="9"/>
        <v>0</v>
      </c>
    </row>
    <row r="626" spans="1:5">
      <c r="A626" s="1">
        <f>IF(C626="","",COUNTA(C$4:C626))</f>
        <v>619</v>
      </c>
      <c r="B626" s="1" t="s">
        <v>1209</v>
      </c>
      <c r="C626" s="1" t="s">
        <v>1210</v>
      </c>
      <c r="E626">
        <f t="shared" si="9"/>
        <v>0</v>
      </c>
    </row>
    <row r="627" spans="1:5">
      <c r="A627" s="1">
        <f>IF(C627="","",COUNTA(C$4:C627))</f>
        <v>620</v>
      </c>
      <c r="B627" s="1" t="s">
        <v>1211</v>
      </c>
      <c r="C627" s="1" t="s">
        <v>1212</v>
      </c>
      <c r="E627">
        <f t="shared" si="9"/>
        <v>0</v>
      </c>
    </row>
    <row r="628" spans="1:5">
      <c r="A628" s="1">
        <f>IF(C628="","",COUNTA(C$4:C628))</f>
        <v>621</v>
      </c>
      <c r="B628" s="1" t="s">
        <v>1213</v>
      </c>
      <c r="C628" s="1" t="s">
        <v>1214</v>
      </c>
      <c r="E628">
        <f t="shared" si="9"/>
        <v>0</v>
      </c>
    </row>
    <row r="629" spans="1:5">
      <c r="A629" s="1">
        <f>IF(C629="","",COUNTA(C$4:C629))</f>
        <v>622</v>
      </c>
      <c r="B629" s="1" t="s">
        <v>676</v>
      </c>
      <c r="C629" s="1" t="s">
        <v>1215</v>
      </c>
      <c r="E629">
        <f t="shared" si="9"/>
        <v>0</v>
      </c>
    </row>
    <row r="630" spans="1:5">
      <c r="A630" s="1">
        <f>IF(C630="","",COUNTA(C$4:C630))</f>
        <v>623</v>
      </c>
      <c r="B630" s="1" t="s">
        <v>1216</v>
      </c>
      <c r="C630" s="1" t="s">
        <v>1217</v>
      </c>
      <c r="E630">
        <f t="shared" si="9"/>
        <v>0</v>
      </c>
    </row>
    <row r="631" spans="1:5">
      <c r="A631" s="1">
        <f>IF(C631="","",COUNTA(C$4:C631))</f>
        <v>624</v>
      </c>
      <c r="B631" s="1" t="s">
        <v>1218</v>
      </c>
      <c r="C631" s="1" t="s">
        <v>1219</v>
      </c>
      <c r="E631">
        <f t="shared" si="9"/>
        <v>0</v>
      </c>
    </row>
    <row r="632" spans="1:5">
      <c r="A632" s="1">
        <f>IF(C632="","",COUNTA(C$4:C632))</f>
        <v>625</v>
      </c>
      <c r="B632" s="1" t="s">
        <v>1220</v>
      </c>
      <c r="C632" s="1" t="s">
        <v>1221</v>
      </c>
      <c r="E632">
        <f t="shared" si="9"/>
        <v>0</v>
      </c>
    </row>
    <row r="633" spans="1:5">
      <c r="A633" s="12" t="s">
        <v>1222</v>
      </c>
      <c r="B633" s="13"/>
      <c r="C633" s="14"/>
      <c r="D633" s="9"/>
      <c r="E633">
        <f t="shared" si="9"/>
        <v>1</v>
      </c>
    </row>
    <row r="634" spans="1:5">
      <c r="A634" s="1">
        <f>IF(C634="","",COUNTA(C$4:C634))</f>
        <v>626</v>
      </c>
      <c r="B634" s="1" t="s">
        <v>1223</v>
      </c>
      <c r="C634" s="1" t="s">
        <v>1224</v>
      </c>
      <c r="E634">
        <f t="shared" si="9"/>
        <v>0</v>
      </c>
    </row>
    <row r="635" spans="1:5">
      <c r="A635" s="1">
        <f>IF(C635="","",COUNTA(C$4:C635))</f>
        <v>627</v>
      </c>
      <c r="B635" s="1" t="s">
        <v>1225</v>
      </c>
      <c r="C635" s="1" t="s">
        <v>1226</v>
      </c>
      <c r="E635">
        <f t="shared" si="9"/>
        <v>0</v>
      </c>
    </row>
    <row r="636" spans="1:5">
      <c r="A636" s="1">
        <f>IF(C636="","",COUNTA(C$4:C636))</f>
        <v>628</v>
      </c>
      <c r="B636" s="1" t="s">
        <v>767</v>
      </c>
      <c r="C636" s="1" t="s">
        <v>1227</v>
      </c>
      <c r="E636">
        <f t="shared" si="9"/>
        <v>0</v>
      </c>
    </row>
    <row r="637" spans="1:5">
      <c r="A637" s="1">
        <f>IF(C637="","",COUNTA(C$4:C637))</f>
        <v>629</v>
      </c>
      <c r="B637" s="1" t="s">
        <v>1228</v>
      </c>
      <c r="C637" s="1" t="s">
        <v>1229</v>
      </c>
      <c r="E637">
        <f t="shared" si="9"/>
        <v>0</v>
      </c>
    </row>
    <row r="638" spans="1:5">
      <c r="A638" s="1">
        <f>IF(C638="","",COUNTA(C$4:C638))</f>
        <v>630</v>
      </c>
      <c r="B638" s="1" t="s">
        <v>1230</v>
      </c>
      <c r="C638" s="1" t="s">
        <v>1231</v>
      </c>
      <c r="E638">
        <f t="shared" si="9"/>
        <v>0</v>
      </c>
    </row>
    <row r="639" spans="1:5">
      <c r="A639" s="1">
        <f>IF(C639="","",COUNTA(C$4:C639))</f>
        <v>631</v>
      </c>
      <c r="B639" s="1" t="s">
        <v>1232</v>
      </c>
      <c r="C639" s="1" t="s">
        <v>1233</v>
      </c>
      <c r="E639">
        <f t="shared" si="9"/>
        <v>0</v>
      </c>
    </row>
    <row r="640" spans="1:5">
      <c r="A640" s="1">
        <f>IF(C640="","",COUNTA(C$4:C640))</f>
        <v>632</v>
      </c>
      <c r="B640" s="1" t="s">
        <v>1234</v>
      </c>
      <c r="C640" s="1" t="s">
        <v>1235</v>
      </c>
      <c r="E640">
        <f t="shared" si="9"/>
        <v>0</v>
      </c>
    </row>
    <row r="641" spans="1:5">
      <c r="A641" s="1">
        <f>IF(C641="","",COUNTA(C$4:C641))</f>
        <v>633</v>
      </c>
      <c r="B641" s="1" t="s">
        <v>1236</v>
      </c>
      <c r="C641" s="1" t="s">
        <v>1237</v>
      </c>
      <c r="E641">
        <f t="shared" si="9"/>
        <v>0</v>
      </c>
    </row>
    <row r="642" spans="1:5">
      <c r="A642" s="1">
        <f>IF(C642="","",COUNTA(C$4:C642))</f>
        <v>634</v>
      </c>
      <c r="B642" s="1" t="s">
        <v>1238</v>
      </c>
      <c r="C642" s="1" t="s">
        <v>1239</v>
      </c>
      <c r="E642">
        <f t="shared" si="9"/>
        <v>0</v>
      </c>
    </row>
    <row r="643" spans="1:5">
      <c r="A643" s="1">
        <f>IF(C643="","",COUNTA(C$4:C643))</f>
        <v>635</v>
      </c>
      <c r="B643" s="1" t="s">
        <v>1240</v>
      </c>
      <c r="C643" s="1" t="s">
        <v>1241</v>
      </c>
      <c r="E643">
        <f t="shared" si="9"/>
        <v>0</v>
      </c>
    </row>
    <row r="644" spans="1:5">
      <c r="A644" s="1">
        <f>IF(C644="","",COUNTA(C$4:C644))</f>
        <v>636</v>
      </c>
      <c r="B644" s="1" t="s">
        <v>1242</v>
      </c>
      <c r="C644" s="1" t="s">
        <v>1243</v>
      </c>
      <c r="E644">
        <f t="shared" si="9"/>
        <v>0</v>
      </c>
    </row>
    <row r="645" spans="1:5">
      <c r="A645" s="1">
        <f>IF(C645="","",COUNTA(C$4:C645))</f>
        <v>637</v>
      </c>
      <c r="B645" s="1" t="s">
        <v>1244</v>
      </c>
      <c r="C645" s="1" t="s">
        <v>1245</v>
      </c>
      <c r="E645">
        <f t="shared" ref="E645:E708" si="10">IF(C645=D645,1,0)</f>
        <v>0</v>
      </c>
    </row>
    <row r="646" spans="1:5">
      <c r="A646" s="1">
        <f>IF(C646="","",COUNTA(C$4:C646))</f>
        <v>638</v>
      </c>
      <c r="B646" s="1" t="s">
        <v>1246</v>
      </c>
      <c r="C646" s="1" t="s">
        <v>1247</v>
      </c>
      <c r="E646">
        <f t="shared" si="10"/>
        <v>0</v>
      </c>
    </row>
    <row r="647" spans="1:5">
      <c r="A647" s="1">
        <f>IF(C647="","",COUNTA(C$4:C647))</f>
        <v>639</v>
      </c>
      <c r="B647" s="1" t="s">
        <v>1248</v>
      </c>
      <c r="C647" s="1" t="s">
        <v>1249</v>
      </c>
      <c r="E647">
        <f t="shared" si="10"/>
        <v>0</v>
      </c>
    </row>
    <row r="648" spans="1:5">
      <c r="A648" s="1">
        <f>IF(C648="","",COUNTA(C$4:C648))</f>
        <v>640</v>
      </c>
      <c r="B648" s="1" t="s">
        <v>1250</v>
      </c>
      <c r="C648" s="1" t="s">
        <v>1251</v>
      </c>
      <c r="E648">
        <f t="shared" si="10"/>
        <v>0</v>
      </c>
    </row>
    <row r="649" spans="1:5">
      <c r="A649" s="1">
        <f>IF(C649="","",COUNTA(C$4:C649))</f>
        <v>641</v>
      </c>
      <c r="B649" s="1" t="s">
        <v>1252</v>
      </c>
      <c r="C649" s="1" t="s">
        <v>1253</v>
      </c>
      <c r="E649">
        <f t="shared" si="10"/>
        <v>0</v>
      </c>
    </row>
    <row r="650" spans="1:5">
      <c r="A650" s="1">
        <f>IF(C650="","",COUNTA(C$4:C650))</f>
        <v>642</v>
      </c>
      <c r="B650" s="1" t="s">
        <v>1254</v>
      </c>
      <c r="C650" s="1" t="s">
        <v>1255</v>
      </c>
      <c r="E650">
        <f t="shared" si="10"/>
        <v>0</v>
      </c>
    </row>
    <row r="651" spans="1:5">
      <c r="A651" s="1">
        <f>IF(C651="","",COUNTA(C$4:C651))</f>
        <v>643</v>
      </c>
      <c r="B651" s="1" t="s">
        <v>1256</v>
      </c>
      <c r="C651" s="1" t="s">
        <v>1257</v>
      </c>
      <c r="E651">
        <f t="shared" si="10"/>
        <v>0</v>
      </c>
    </row>
    <row r="652" spans="1:5">
      <c r="A652" s="1">
        <f>IF(C652="","",COUNTA(C$4:C652))</f>
        <v>644</v>
      </c>
      <c r="B652" s="1" t="s">
        <v>1258</v>
      </c>
      <c r="C652" s="1" t="s">
        <v>1259</v>
      </c>
      <c r="E652">
        <f t="shared" si="10"/>
        <v>0</v>
      </c>
    </row>
    <row r="653" spans="1:5">
      <c r="A653" s="1">
        <f>IF(C653="","",COUNTA(C$4:C653))</f>
        <v>645</v>
      </c>
      <c r="B653" s="1" t="s">
        <v>1260</v>
      </c>
      <c r="C653" s="1" t="s">
        <v>1261</v>
      </c>
      <c r="E653">
        <f t="shared" si="10"/>
        <v>0</v>
      </c>
    </row>
    <row r="654" spans="1:5">
      <c r="A654" s="1">
        <f>IF(C654="","",COUNTA(C$4:C654))</f>
        <v>646</v>
      </c>
      <c r="B654" s="1" t="s">
        <v>1262</v>
      </c>
      <c r="C654" s="1" t="s">
        <v>1263</v>
      </c>
      <c r="E654">
        <f t="shared" si="10"/>
        <v>0</v>
      </c>
    </row>
    <row r="655" spans="1:5">
      <c r="A655" s="1">
        <f>IF(C655="","",COUNTA(C$4:C655))</f>
        <v>647</v>
      </c>
      <c r="B655" s="1" t="s">
        <v>1264</v>
      </c>
      <c r="C655" s="1" t="s">
        <v>1265</v>
      </c>
      <c r="E655">
        <f t="shared" si="10"/>
        <v>0</v>
      </c>
    </row>
    <row r="656" spans="1:5">
      <c r="A656" s="1">
        <f>IF(C656="","",COUNTA(C$4:C656))</f>
        <v>648</v>
      </c>
      <c r="B656" s="1" t="s">
        <v>1266</v>
      </c>
      <c r="C656" s="1" t="s">
        <v>1267</v>
      </c>
      <c r="E656">
        <f t="shared" si="10"/>
        <v>0</v>
      </c>
    </row>
    <row r="657" spans="1:5">
      <c r="A657" s="1">
        <f>IF(C657="","",COUNTA(C$4:C657))</f>
        <v>649</v>
      </c>
      <c r="B657" s="1" t="s">
        <v>1268</v>
      </c>
      <c r="C657" s="1" t="s">
        <v>1269</v>
      </c>
      <c r="E657">
        <f t="shared" si="10"/>
        <v>0</v>
      </c>
    </row>
    <row r="658" spans="1:5">
      <c r="A658" s="1">
        <f>IF(C658="","",COUNTA(C$4:C658))</f>
        <v>650</v>
      </c>
      <c r="B658" s="1" t="s">
        <v>1270</v>
      </c>
      <c r="C658" s="1" t="s">
        <v>1271</v>
      </c>
      <c r="E658">
        <f t="shared" si="10"/>
        <v>0</v>
      </c>
    </row>
    <row r="659" spans="1:5">
      <c r="A659" s="1">
        <f>IF(C659="","",COUNTA(C$4:C659))</f>
        <v>651</v>
      </c>
      <c r="B659" s="1" t="s">
        <v>1272</v>
      </c>
      <c r="C659" s="1" t="s">
        <v>1273</v>
      </c>
      <c r="E659">
        <f t="shared" si="10"/>
        <v>0</v>
      </c>
    </row>
    <row r="660" spans="1:5">
      <c r="A660" s="1">
        <f>IF(C660="","",COUNTA(C$4:C660))</f>
        <v>652</v>
      </c>
      <c r="B660" s="1" t="s">
        <v>1274</v>
      </c>
      <c r="C660" s="1" t="s">
        <v>1275</v>
      </c>
      <c r="E660">
        <f t="shared" si="10"/>
        <v>0</v>
      </c>
    </row>
    <row r="661" spans="1:5">
      <c r="A661" s="1">
        <f>IF(C661="","",COUNTA(C$4:C661))</f>
        <v>653</v>
      </c>
      <c r="B661" s="1" t="s">
        <v>1276</v>
      </c>
      <c r="C661" s="1" t="s">
        <v>1277</v>
      </c>
      <c r="E661">
        <f t="shared" si="10"/>
        <v>0</v>
      </c>
    </row>
    <row r="662" spans="1:5">
      <c r="A662" s="1">
        <f>IF(C662="","",COUNTA(C$4:C662))</f>
        <v>654</v>
      </c>
      <c r="B662" s="1" t="s">
        <v>1278</v>
      </c>
      <c r="C662" s="1" t="s">
        <v>1279</v>
      </c>
      <c r="E662">
        <f t="shared" si="10"/>
        <v>0</v>
      </c>
    </row>
    <row r="663" spans="1:5">
      <c r="A663" s="1">
        <f>IF(C663="","",COUNTA(C$4:C663))</f>
        <v>655</v>
      </c>
      <c r="B663" s="1" t="s">
        <v>1280</v>
      </c>
      <c r="C663" s="1" t="s">
        <v>1281</v>
      </c>
      <c r="E663">
        <f t="shared" si="10"/>
        <v>0</v>
      </c>
    </row>
    <row r="664" spans="1:5">
      <c r="A664" s="1">
        <f>IF(C664="","",COUNTA(C$4:C664))</f>
        <v>656</v>
      </c>
      <c r="B664" s="1" t="s">
        <v>1282</v>
      </c>
      <c r="C664" s="1" t="s">
        <v>1283</v>
      </c>
      <c r="E664">
        <f t="shared" si="10"/>
        <v>0</v>
      </c>
    </row>
    <row r="665" spans="1:5">
      <c r="A665" s="1">
        <f>IF(C665="","",COUNTA(C$4:C665))</f>
        <v>657</v>
      </c>
      <c r="B665" s="1" t="s">
        <v>1284</v>
      </c>
      <c r="C665" s="1" t="s">
        <v>1285</v>
      </c>
      <c r="E665">
        <f t="shared" si="10"/>
        <v>0</v>
      </c>
    </row>
    <row r="666" spans="1:5">
      <c r="A666" s="1">
        <f>IF(C666="","",COUNTA(C$4:C666))</f>
        <v>658</v>
      </c>
      <c r="B666" s="1" t="s">
        <v>1286</v>
      </c>
      <c r="C666" s="1" t="s">
        <v>1287</v>
      </c>
      <c r="E666">
        <f t="shared" si="10"/>
        <v>0</v>
      </c>
    </row>
    <row r="667" spans="1:5">
      <c r="A667" s="1">
        <f>IF(C667="","",COUNTA(C$4:C667))</f>
        <v>659</v>
      </c>
      <c r="B667" s="1" t="s">
        <v>321</v>
      </c>
      <c r="C667" s="1" t="s">
        <v>1288</v>
      </c>
      <c r="E667">
        <f t="shared" si="10"/>
        <v>0</v>
      </c>
    </row>
    <row r="668" spans="1:5">
      <c r="A668" s="1">
        <f>IF(C668="","",COUNTA(C$4:C668))</f>
        <v>660</v>
      </c>
      <c r="B668" s="1" t="s">
        <v>1289</v>
      </c>
      <c r="C668" s="1" t="s">
        <v>1290</v>
      </c>
      <c r="E668">
        <f t="shared" si="10"/>
        <v>0</v>
      </c>
    </row>
    <row r="669" spans="1:5">
      <c r="A669" s="1">
        <f>IF(C669="","",COUNTA(C$4:C669))</f>
        <v>661</v>
      </c>
      <c r="B669" s="1" t="s">
        <v>1291</v>
      </c>
      <c r="C669" s="1" t="s">
        <v>1292</v>
      </c>
      <c r="E669">
        <f t="shared" si="10"/>
        <v>0</v>
      </c>
    </row>
    <row r="670" spans="1:5">
      <c r="A670" s="1">
        <f>IF(C670="","",COUNTA(C$4:C670))</f>
        <v>662</v>
      </c>
      <c r="B670" s="1" t="s">
        <v>1293</v>
      </c>
      <c r="C670" s="1" t="s">
        <v>1294</v>
      </c>
      <c r="E670">
        <f t="shared" si="10"/>
        <v>0</v>
      </c>
    </row>
    <row r="671" spans="1:5">
      <c r="A671" s="1">
        <f>IF(C671="","",COUNTA(C$4:C671))</f>
        <v>663</v>
      </c>
      <c r="B671" s="1" t="s">
        <v>1295</v>
      </c>
      <c r="C671" s="1" t="s">
        <v>1296</v>
      </c>
      <c r="E671">
        <f t="shared" si="10"/>
        <v>0</v>
      </c>
    </row>
    <row r="672" spans="1:5">
      <c r="A672" s="1">
        <f>IF(C672="","",COUNTA(C$4:C672))</f>
        <v>664</v>
      </c>
      <c r="B672" s="1" t="s">
        <v>1297</v>
      </c>
      <c r="C672" s="1" t="s">
        <v>1298</v>
      </c>
      <c r="E672">
        <f t="shared" si="10"/>
        <v>0</v>
      </c>
    </row>
    <row r="673" spans="1:5">
      <c r="A673" s="1">
        <f>IF(C673="","",COUNTA(C$4:C673))</f>
        <v>665</v>
      </c>
      <c r="B673" s="1" t="s">
        <v>1299</v>
      </c>
      <c r="C673" s="1" t="s">
        <v>1300</v>
      </c>
      <c r="E673">
        <f t="shared" si="10"/>
        <v>0</v>
      </c>
    </row>
    <row r="674" spans="1:5">
      <c r="A674" s="1">
        <f>IF(C674="","",COUNTA(C$4:C674))</f>
        <v>666</v>
      </c>
      <c r="B674" s="1" t="s">
        <v>1301</v>
      </c>
      <c r="C674" s="1" t="s">
        <v>1302</v>
      </c>
      <c r="E674">
        <f t="shared" si="10"/>
        <v>0</v>
      </c>
    </row>
    <row r="675" spans="1:5">
      <c r="A675" s="1">
        <f>IF(C675="","",COUNTA(C$4:C675))</f>
        <v>667</v>
      </c>
      <c r="B675" s="1" t="s">
        <v>1303</v>
      </c>
      <c r="C675" s="1" t="s">
        <v>1304</v>
      </c>
      <c r="E675">
        <f t="shared" si="10"/>
        <v>0</v>
      </c>
    </row>
    <row r="676" spans="1:5">
      <c r="A676" s="1">
        <f>IF(C676="","",COUNTA(C$4:C676))</f>
        <v>668</v>
      </c>
      <c r="B676" s="1" t="s">
        <v>1305</v>
      </c>
      <c r="C676" s="1" t="s">
        <v>1306</v>
      </c>
      <c r="E676">
        <f t="shared" si="10"/>
        <v>0</v>
      </c>
    </row>
    <row r="677" spans="1:5">
      <c r="A677" s="1">
        <f>IF(C677="","",COUNTA(C$4:C677))</f>
        <v>669</v>
      </c>
      <c r="B677" s="1" t="s">
        <v>1307</v>
      </c>
      <c r="C677" s="1" t="s">
        <v>1308</v>
      </c>
      <c r="E677">
        <f t="shared" si="10"/>
        <v>0</v>
      </c>
    </row>
    <row r="678" spans="1:5">
      <c r="A678" s="1">
        <f>IF(C678="","",COUNTA(C$4:C678))</f>
        <v>670</v>
      </c>
      <c r="B678" s="1" t="s">
        <v>1309</v>
      </c>
      <c r="C678" s="1" t="s">
        <v>1310</v>
      </c>
      <c r="E678">
        <f t="shared" si="10"/>
        <v>0</v>
      </c>
    </row>
    <row r="679" spans="1:5">
      <c r="A679" s="1">
        <f>IF(C679="","",COUNTA(C$4:C679))</f>
        <v>671</v>
      </c>
      <c r="B679" s="1" t="s">
        <v>1311</v>
      </c>
      <c r="C679" s="1" t="s">
        <v>1312</v>
      </c>
      <c r="E679">
        <f t="shared" si="10"/>
        <v>0</v>
      </c>
    </row>
    <row r="680" spans="1:5">
      <c r="A680" s="1">
        <f>IF(C680="","",COUNTA(C$4:C680))</f>
        <v>672</v>
      </c>
      <c r="B680" s="1" t="s">
        <v>1313</v>
      </c>
      <c r="C680" s="1" t="s">
        <v>1314</v>
      </c>
      <c r="E680">
        <f t="shared" si="10"/>
        <v>0</v>
      </c>
    </row>
    <row r="681" spans="1:5">
      <c r="A681" s="1">
        <f>IF(C681="","",COUNTA(C$4:C681))</f>
        <v>673</v>
      </c>
      <c r="B681" s="1" t="s">
        <v>1315</v>
      </c>
      <c r="C681" s="1" t="s">
        <v>1316</v>
      </c>
      <c r="E681">
        <f t="shared" si="10"/>
        <v>0</v>
      </c>
    </row>
    <row r="682" spans="1:5">
      <c r="A682" s="1">
        <f>IF(C682="","",COUNTA(C$4:C682))</f>
        <v>674</v>
      </c>
      <c r="B682" s="1" t="s">
        <v>755</v>
      </c>
      <c r="C682" s="1" t="s">
        <v>1317</v>
      </c>
      <c r="E682">
        <f t="shared" si="10"/>
        <v>0</v>
      </c>
    </row>
    <row r="683" spans="1:5">
      <c r="A683" s="1">
        <f>IF(C683="","",COUNTA(C$4:C683))</f>
        <v>675</v>
      </c>
      <c r="B683" s="1" t="s">
        <v>1318</v>
      </c>
      <c r="C683" s="1" t="s">
        <v>1319</v>
      </c>
      <c r="E683">
        <f t="shared" si="10"/>
        <v>0</v>
      </c>
    </row>
    <row r="684" spans="1:5">
      <c r="A684" s="1">
        <f>IF(C684="","",COUNTA(C$4:C684))</f>
        <v>676</v>
      </c>
      <c r="B684" s="1" t="s">
        <v>1320</v>
      </c>
      <c r="C684" s="1" t="s">
        <v>1321</v>
      </c>
      <c r="E684">
        <f t="shared" si="10"/>
        <v>0</v>
      </c>
    </row>
    <row r="685" spans="1:5">
      <c r="A685" s="1">
        <f>IF(C685="","",COUNTA(C$4:C685))</f>
        <v>677</v>
      </c>
      <c r="B685" s="1" t="s">
        <v>1322</v>
      </c>
      <c r="C685" s="1" t="s">
        <v>1323</v>
      </c>
      <c r="E685">
        <f t="shared" si="10"/>
        <v>0</v>
      </c>
    </row>
    <row r="686" spans="1:5">
      <c r="A686" s="1">
        <f>IF(C686="","",COUNTA(C$4:C686))</f>
        <v>678</v>
      </c>
      <c r="B686" s="1" t="s">
        <v>1324</v>
      </c>
      <c r="C686" s="1" t="s">
        <v>1325</v>
      </c>
      <c r="E686">
        <f t="shared" si="10"/>
        <v>0</v>
      </c>
    </row>
    <row r="687" spans="1:5">
      <c r="A687" s="1">
        <f>IF(C687="","",COUNTA(C$4:C687))</f>
        <v>679</v>
      </c>
      <c r="B687" s="1" t="s">
        <v>1326</v>
      </c>
      <c r="C687" s="1" t="s">
        <v>1327</v>
      </c>
      <c r="E687">
        <f t="shared" si="10"/>
        <v>0</v>
      </c>
    </row>
    <row r="688" spans="1:5">
      <c r="A688" s="1">
        <f>IF(C688="","",COUNTA(C$4:C688))</f>
        <v>680</v>
      </c>
      <c r="B688" s="1" t="s">
        <v>1328</v>
      </c>
      <c r="C688" s="1" t="s">
        <v>1329</v>
      </c>
      <c r="E688">
        <f t="shared" si="10"/>
        <v>0</v>
      </c>
    </row>
    <row r="689" spans="1:5">
      <c r="A689" s="1">
        <f>IF(C689="","",COUNTA(C$4:C689))</f>
        <v>681</v>
      </c>
      <c r="B689" s="1" t="s">
        <v>1330</v>
      </c>
      <c r="C689" s="1" t="s">
        <v>1331</v>
      </c>
      <c r="E689">
        <f t="shared" si="10"/>
        <v>0</v>
      </c>
    </row>
    <row r="690" spans="1:5">
      <c r="A690" s="1">
        <f>IF(C690="","",COUNTA(C$4:C690))</f>
        <v>682</v>
      </c>
      <c r="B690" s="1" t="s">
        <v>1332</v>
      </c>
      <c r="C690" s="1" t="s">
        <v>1333</v>
      </c>
      <c r="E690">
        <f t="shared" si="10"/>
        <v>0</v>
      </c>
    </row>
    <row r="691" spans="1:5">
      <c r="A691" s="1">
        <f>IF(C691="","",COUNTA(C$4:C691))</f>
        <v>683</v>
      </c>
      <c r="B691" s="1" t="s">
        <v>1334</v>
      </c>
      <c r="C691" s="1" t="s">
        <v>1335</v>
      </c>
      <c r="E691">
        <f t="shared" si="10"/>
        <v>0</v>
      </c>
    </row>
    <row r="692" spans="1:5">
      <c r="A692" s="1">
        <f>IF(C692="","",COUNTA(C$4:C692))</f>
        <v>684</v>
      </c>
      <c r="B692" s="1" t="s">
        <v>1336</v>
      </c>
      <c r="C692" s="1" t="s">
        <v>1337</v>
      </c>
      <c r="E692">
        <f t="shared" si="10"/>
        <v>0</v>
      </c>
    </row>
    <row r="693" spans="1:5">
      <c r="A693" s="1">
        <f>IF(C693="","",COUNTA(C$4:C693))</f>
        <v>685</v>
      </c>
      <c r="B693" s="1" t="s">
        <v>1338</v>
      </c>
      <c r="C693" s="1" t="s">
        <v>1339</v>
      </c>
      <c r="E693">
        <f t="shared" si="10"/>
        <v>0</v>
      </c>
    </row>
    <row r="694" spans="1:5">
      <c r="A694" s="1">
        <f>IF(C694="","",COUNTA(C$4:C694))</f>
        <v>686</v>
      </c>
      <c r="B694" s="1" t="s">
        <v>1340</v>
      </c>
      <c r="C694" s="1" t="s">
        <v>1341</v>
      </c>
      <c r="E694">
        <f t="shared" si="10"/>
        <v>0</v>
      </c>
    </row>
    <row r="695" spans="1:5">
      <c r="A695" s="1">
        <f>IF(C695="","",COUNTA(C$4:C695))</f>
        <v>687</v>
      </c>
      <c r="B695" s="1" t="s">
        <v>1342</v>
      </c>
      <c r="C695" s="1" t="s">
        <v>1343</v>
      </c>
      <c r="E695">
        <f t="shared" si="10"/>
        <v>0</v>
      </c>
    </row>
    <row r="696" spans="1:5">
      <c r="A696" s="1">
        <f>IF(C696="","",COUNTA(C$4:C696))</f>
        <v>688</v>
      </c>
      <c r="B696" s="1" t="s">
        <v>1344</v>
      </c>
      <c r="C696" s="1" t="s">
        <v>1345</v>
      </c>
      <c r="E696">
        <f t="shared" si="10"/>
        <v>0</v>
      </c>
    </row>
    <row r="697" spans="1:5">
      <c r="A697" s="1">
        <f>IF(C697="","",COUNTA(C$4:C697))</f>
        <v>689</v>
      </c>
      <c r="B697" s="1" t="s">
        <v>1346</v>
      </c>
      <c r="C697" s="1" t="s">
        <v>1347</v>
      </c>
      <c r="E697">
        <f t="shared" si="10"/>
        <v>0</v>
      </c>
    </row>
    <row r="698" spans="1:5">
      <c r="A698" s="1">
        <f>IF(C698="","",COUNTA(C$4:C698))</f>
        <v>690</v>
      </c>
      <c r="B698" s="1" t="s">
        <v>1348</v>
      </c>
      <c r="C698" s="1" t="s">
        <v>1349</v>
      </c>
      <c r="E698">
        <f t="shared" si="10"/>
        <v>0</v>
      </c>
    </row>
    <row r="699" spans="1:5">
      <c r="A699" s="1">
        <f>IF(C699="","",COUNTA(C$4:C699))</f>
        <v>691</v>
      </c>
      <c r="B699" s="1" t="s">
        <v>1350</v>
      </c>
      <c r="C699" s="1" t="s">
        <v>1351</v>
      </c>
      <c r="E699">
        <f t="shared" si="10"/>
        <v>0</v>
      </c>
    </row>
    <row r="700" spans="1:5">
      <c r="A700" s="1">
        <f>IF(C700="","",COUNTA(C$4:C700))</f>
        <v>692</v>
      </c>
      <c r="B700" s="1" t="s">
        <v>1352</v>
      </c>
      <c r="C700" s="1" t="s">
        <v>1353</v>
      </c>
      <c r="E700">
        <f t="shared" si="10"/>
        <v>0</v>
      </c>
    </row>
    <row r="701" spans="1:5">
      <c r="A701" s="1">
        <f>IF(C701="","",COUNTA(C$4:C701))</f>
        <v>693</v>
      </c>
      <c r="B701" s="1" t="s">
        <v>1354</v>
      </c>
      <c r="C701" s="1" t="s">
        <v>1355</v>
      </c>
      <c r="E701">
        <f t="shared" si="10"/>
        <v>0</v>
      </c>
    </row>
    <row r="702" spans="1:5">
      <c r="A702" s="1">
        <f>IF(C702="","",COUNTA(C$4:C702))</f>
        <v>694</v>
      </c>
      <c r="B702" s="1" t="s">
        <v>1356</v>
      </c>
      <c r="C702" s="1" t="s">
        <v>1357</v>
      </c>
      <c r="E702">
        <f t="shared" si="10"/>
        <v>0</v>
      </c>
    </row>
    <row r="703" spans="1:5">
      <c r="A703" s="1">
        <f>IF(C703="","",COUNTA(C$4:C703))</f>
        <v>695</v>
      </c>
      <c r="B703" s="1" t="s">
        <v>1358</v>
      </c>
      <c r="C703" s="1" t="s">
        <v>1359</v>
      </c>
      <c r="E703">
        <f t="shared" si="10"/>
        <v>0</v>
      </c>
    </row>
    <row r="704" spans="1:5">
      <c r="A704" s="1">
        <f>IF(C704="","",COUNTA(C$4:C704))</f>
        <v>696</v>
      </c>
      <c r="B704" s="1" t="s">
        <v>1360</v>
      </c>
      <c r="C704" s="1" t="s">
        <v>1361</v>
      </c>
      <c r="E704">
        <f t="shared" si="10"/>
        <v>0</v>
      </c>
    </row>
    <row r="705" spans="1:5">
      <c r="A705" s="1">
        <f>IF(C705="","",COUNTA(C$4:C705))</f>
        <v>697</v>
      </c>
      <c r="B705" s="1" t="s">
        <v>1362</v>
      </c>
      <c r="C705" s="1" t="s">
        <v>1363</v>
      </c>
      <c r="E705">
        <f t="shared" si="10"/>
        <v>0</v>
      </c>
    </row>
    <row r="706" spans="1:5">
      <c r="A706" s="1">
        <f>IF(C706="","",COUNTA(C$4:C706))</f>
        <v>698</v>
      </c>
      <c r="B706" s="1" t="s">
        <v>1364</v>
      </c>
      <c r="C706" s="1" t="s">
        <v>1365</v>
      </c>
      <c r="E706">
        <f t="shared" si="10"/>
        <v>0</v>
      </c>
    </row>
    <row r="707" spans="1:5">
      <c r="A707" s="1">
        <f>IF(C707="","",COUNTA(C$4:C707))</f>
        <v>699</v>
      </c>
      <c r="B707" s="1" t="s">
        <v>1366</v>
      </c>
      <c r="C707" s="1" t="s">
        <v>1367</v>
      </c>
      <c r="E707">
        <f t="shared" si="10"/>
        <v>0</v>
      </c>
    </row>
    <row r="708" spans="1:5">
      <c r="A708" s="1">
        <f>IF(C708="","",COUNTA(C$4:C708))</f>
        <v>700</v>
      </c>
      <c r="B708" s="1" t="s">
        <v>1368</v>
      </c>
      <c r="C708" s="1" t="s">
        <v>1369</v>
      </c>
      <c r="E708">
        <f t="shared" si="10"/>
        <v>0</v>
      </c>
    </row>
    <row r="709" spans="1:5">
      <c r="A709" s="1">
        <f>IF(C709="","",COUNTA(C$4:C709))</f>
        <v>701</v>
      </c>
      <c r="B709" s="1" t="s">
        <v>1370</v>
      </c>
      <c r="C709" s="1" t="s">
        <v>1371</v>
      </c>
      <c r="E709">
        <f t="shared" ref="E709:E772" si="11">IF(C709=D709,1,0)</f>
        <v>0</v>
      </c>
    </row>
    <row r="710" spans="1:5">
      <c r="A710" s="1">
        <f>IF(C710="","",COUNTA(C$4:C710))</f>
        <v>702</v>
      </c>
      <c r="B710" s="1" t="s">
        <v>837</v>
      </c>
      <c r="C710" s="1" t="s">
        <v>1372</v>
      </c>
      <c r="E710">
        <f t="shared" si="11"/>
        <v>0</v>
      </c>
    </row>
    <row r="711" spans="1:5">
      <c r="A711" s="1">
        <f>IF(C711="","",COUNTA(C$4:C711))</f>
        <v>703</v>
      </c>
      <c r="B711" s="1" t="s">
        <v>1373</v>
      </c>
      <c r="C711" s="1" t="s">
        <v>1374</v>
      </c>
      <c r="E711">
        <f t="shared" si="11"/>
        <v>0</v>
      </c>
    </row>
    <row r="712" spans="1:5">
      <c r="A712" s="1">
        <f>IF(C712="","",COUNTA(C$4:C712))</f>
        <v>704</v>
      </c>
      <c r="B712" s="1" t="s">
        <v>1375</v>
      </c>
      <c r="C712" s="1" t="s">
        <v>1376</v>
      </c>
      <c r="E712">
        <f t="shared" si="11"/>
        <v>0</v>
      </c>
    </row>
    <row r="713" spans="1:5">
      <c r="A713" s="1">
        <f>IF(C713="","",COUNTA(C$4:C713))</f>
        <v>705</v>
      </c>
      <c r="B713" s="1" t="s">
        <v>1375</v>
      </c>
      <c r="C713" s="1" t="s">
        <v>1377</v>
      </c>
      <c r="E713">
        <f t="shared" si="11"/>
        <v>0</v>
      </c>
    </row>
    <row r="714" spans="1:5">
      <c r="A714" s="1">
        <f>IF(C714="","",COUNTA(C$4:C714))</f>
        <v>706</v>
      </c>
      <c r="B714" s="1" t="s">
        <v>1378</v>
      </c>
      <c r="C714" s="1" t="s">
        <v>1379</v>
      </c>
      <c r="E714">
        <f t="shared" si="11"/>
        <v>0</v>
      </c>
    </row>
    <row r="715" spans="1:5">
      <c r="A715" s="1">
        <f>IF(C715="","",COUNTA(C$4:C715))</f>
        <v>707</v>
      </c>
      <c r="B715" s="1" t="s">
        <v>1380</v>
      </c>
      <c r="C715" s="1" t="s">
        <v>1381</v>
      </c>
      <c r="E715">
        <f t="shared" si="11"/>
        <v>0</v>
      </c>
    </row>
    <row r="716" spans="1:5">
      <c r="A716" s="1">
        <f>IF(C716="","",COUNTA(C$4:C716))</f>
        <v>708</v>
      </c>
      <c r="B716" s="1" t="s">
        <v>1382</v>
      </c>
      <c r="C716" s="1" t="s">
        <v>1383</v>
      </c>
      <c r="E716">
        <f t="shared" si="11"/>
        <v>0</v>
      </c>
    </row>
    <row r="717" spans="1:5">
      <c r="A717" s="1">
        <f>IF(C717="","",COUNTA(C$4:C717))</f>
        <v>709</v>
      </c>
      <c r="B717" s="1" t="s">
        <v>1384</v>
      </c>
      <c r="C717" s="1" t="s">
        <v>1385</v>
      </c>
      <c r="E717">
        <f t="shared" si="11"/>
        <v>0</v>
      </c>
    </row>
    <row r="718" spans="1:5">
      <c r="A718" s="1">
        <f>IF(C718="","",COUNTA(C$4:C718))</f>
        <v>710</v>
      </c>
      <c r="B718" s="1" t="s">
        <v>1386</v>
      </c>
      <c r="C718" s="1" t="s">
        <v>1387</v>
      </c>
      <c r="E718">
        <f t="shared" si="11"/>
        <v>0</v>
      </c>
    </row>
    <row r="719" spans="1:5">
      <c r="A719" s="1">
        <f>IF(C719="","",COUNTA(C$4:C719))</f>
        <v>711</v>
      </c>
      <c r="B719" s="1" t="s">
        <v>1388</v>
      </c>
      <c r="C719" s="1" t="s">
        <v>1389</v>
      </c>
      <c r="E719">
        <f t="shared" si="11"/>
        <v>0</v>
      </c>
    </row>
    <row r="720" spans="1:5">
      <c r="A720" s="1">
        <f>IF(C720="","",COUNTA(C$4:C720))</f>
        <v>712</v>
      </c>
      <c r="B720" s="1" t="s">
        <v>1390</v>
      </c>
      <c r="C720" s="1" t="s">
        <v>1391</v>
      </c>
      <c r="E720">
        <f t="shared" si="11"/>
        <v>0</v>
      </c>
    </row>
    <row r="721" spans="1:5">
      <c r="A721" s="1">
        <f>IF(C721="","",COUNTA(C$4:C721))</f>
        <v>713</v>
      </c>
      <c r="B721" s="1" t="s">
        <v>1392</v>
      </c>
      <c r="C721" s="1" t="s">
        <v>1393</v>
      </c>
      <c r="E721">
        <f t="shared" si="11"/>
        <v>0</v>
      </c>
    </row>
    <row r="722" spans="1:5">
      <c r="A722" s="1">
        <f>IF(C722="","",COUNTA(C$4:C722))</f>
        <v>714</v>
      </c>
      <c r="B722" s="1" t="s">
        <v>1394</v>
      </c>
      <c r="C722" s="1" t="s">
        <v>1395</v>
      </c>
      <c r="E722">
        <f t="shared" si="11"/>
        <v>0</v>
      </c>
    </row>
    <row r="723" spans="1:5">
      <c r="A723" s="1">
        <f>IF(C723="","",COUNTA(C$4:C723))</f>
        <v>715</v>
      </c>
      <c r="B723" s="1" t="s">
        <v>1396</v>
      </c>
      <c r="C723" s="1" t="s">
        <v>1397</v>
      </c>
      <c r="E723">
        <f t="shared" si="11"/>
        <v>0</v>
      </c>
    </row>
    <row r="724" spans="1:5">
      <c r="A724" s="1">
        <f>IF(C724="","",COUNTA(C$4:C724))</f>
        <v>716</v>
      </c>
      <c r="B724" s="1" t="s">
        <v>1398</v>
      </c>
      <c r="C724" s="1" t="s">
        <v>1399</v>
      </c>
      <c r="E724">
        <f t="shared" si="11"/>
        <v>0</v>
      </c>
    </row>
    <row r="725" spans="1:5">
      <c r="A725" s="1">
        <f>IF(C725="","",COUNTA(C$4:C725))</f>
        <v>717</v>
      </c>
      <c r="B725" s="1" t="s">
        <v>1400</v>
      </c>
      <c r="C725" s="1" t="s">
        <v>1401</v>
      </c>
      <c r="E725">
        <f t="shared" si="11"/>
        <v>0</v>
      </c>
    </row>
    <row r="726" spans="1:5">
      <c r="A726" s="1">
        <f>IF(C726="","",COUNTA(C$4:C726))</f>
        <v>718</v>
      </c>
      <c r="B726" s="1" t="s">
        <v>1402</v>
      </c>
      <c r="C726" s="1" t="s">
        <v>1403</v>
      </c>
      <c r="E726">
        <f t="shared" si="11"/>
        <v>0</v>
      </c>
    </row>
    <row r="727" spans="1:5">
      <c r="A727" s="1">
        <f>IF(C727="","",COUNTA(C$4:C727))</f>
        <v>719</v>
      </c>
      <c r="B727" s="1" t="s">
        <v>1400</v>
      </c>
      <c r="C727" s="1" t="s">
        <v>1404</v>
      </c>
      <c r="E727">
        <f t="shared" si="11"/>
        <v>0</v>
      </c>
    </row>
    <row r="728" spans="1:5">
      <c r="A728" s="1">
        <f>IF(C728="","",COUNTA(C$4:C728))</f>
        <v>720</v>
      </c>
      <c r="B728" s="1" t="s">
        <v>1405</v>
      </c>
      <c r="C728" s="1" t="s">
        <v>1406</v>
      </c>
      <c r="E728">
        <f t="shared" si="11"/>
        <v>0</v>
      </c>
    </row>
    <row r="729" spans="1:5">
      <c r="A729" s="1">
        <f>IF(C729="","",COUNTA(C$4:C729))</f>
        <v>721</v>
      </c>
      <c r="B729" s="1" t="s">
        <v>1407</v>
      </c>
      <c r="C729" s="1" t="s">
        <v>1408</v>
      </c>
      <c r="E729">
        <f t="shared" si="11"/>
        <v>0</v>
      </c>
    </row>
    <row r="730" spans="1:5">
      <c r="A730" s="1">
        <f>IF(C730="","",COUNTA(C$4:C730))</f>
        <v>722</v>
      </c>
      <c r="B730" s="1" t="s">
        <v>1409</v>
      </c>
      <c r="C730" s="1" t="s">
        <v>1410</v>
      </c>
      <c r="E730">
        <f t="shared" si="11"/>
        <v>0</v>
      </c>
    </row>
    <row r="731" spans="1:5">
      <c r="A731" s="1">
        <f>IF(C731="","",COUNTA(C$4:C731))</f>
        <v>723</v>
      </c>
      <c r="B731" s="1" t="s">
        <v>1411</v>
      </c>
      <c r="C731" s="1" t="s">
        <v>1412</v>
      </c>
      <c r="E731">
        <f t="shared" si="11"/>
        <v>0</v>
      </c>
    </row>
    <row r="732" spans="1:5">
      <c r="A732" s="1">
        <f>IF(C732="","",COUNTA(C$4:C732))</f>
        <v>724</v>
      </c>
      <c r="B732" s="1" t="s">
        <v>1413</v>
      </c>
      <c r="C732" s="1" t="s">
        <v>1414</v>
      </c>
      <c r="E732">
        <f t="shared" si="11"/>
        <v>0</v>
      </c>
    </row>
    <row r="733" spans="1:5">
      <c r="A733" s="1">
        <f>IF(C733="","",COUNTA(C$4:C733))</f>
        <v>725</v>
      </c>
      <c r="B733" s="1" t="s">
        <v>1415</v>
      </c>
      <c r="C733" s="1" t="s">
        <v>1416</v>
      </c>
      <c r="E733">
        <f t="shared" si="11"/>
        <v>0</v>
      </c>
    </row>
    <row r="734" spans="1:5">
      <c r="A734" s="1">
        <f>IF(C734="","",COUNTA(C$4:C734))</f>
        <v>726</v>
      </c>
      <c r="B734" s="1" t="s">
        <v>1417</v>
      </c>
      <c r="C734" s="1" t="s">
        <v>1418</v>
      </c>
      <c r="E734">
        <f t="shared" si="11"/>
        <v>0</v>
      </c>
    </row>
    <row r="735" spans="1:5">
      <c r="A735" s="1">
        <f>IF(C735="","",COUNTA(C$4:C735))</f>
        <v>727</v>
      </c>
      <c r="B735" s="1" t="s">
        <v>1419</v>
      </c>
      <c r="C735" s="1" t="s">
        <v>1420</v>
      </c>
      <c r="E735">
        <f t="shared" si="11"/>
        <v>0</v>
      </c>
    </row>
    <row r="736" spans="1:5">
      <c r="A736" s="1">
        <f>IF(C736="","",COUNTA(C$4:C736))</f>
        <v>728</v>
      </c>
      <c r="B736" s="1" t="s">
        <v>1421</v>
      </c>
      <c r="C736" s="1" t="s">
        <v>1422</v>
      </c>
      <c r="E736">
        <f t="shared" si="11"/>
        <v>0</v>
      </c>
    </row>
    <row r="737" spans="1:5">
      <c r="A737" s="1">
        <f>IF(C737="","",COUNTA(C$4:C737))</f>
        <v>729</v>
      </c>
      <c r="B737" s="1" t="s">
        <v>431</v>
      </c>
      <c r="C737" s="1" t="s">
        <v>1423</v>
      </c>
      <c r="E737">
        <f t="shared" si="11"/>
        <v>0</v>
      </c>
    </row>
    <row r="738" spans="1:5">
      <c r="A738" s="1">
        <f>IF(C738="","",COUNTA(C$4:C738))</f>
        <v>730</v>
      </c>
      <c r="B738" s="1" t="s">
        <v>1424</v>
      </c>
      <c r="C738" s="1" t="s">
        <v>1425</v>
      </c>
      <c r="E738">
        <f t="shared" si="11"/>
        <v>0</v>
      </c>
    </row>
    <row r="739" spans="1:5">
      <c r="A739" s="1">
        <f>IF(C739="","",COUNTA(C$4:C739))</f>
        <v>731</v>
      </c>
      <c r="B739" s="1" t="s">
        <v>1426</v>
      </c>
      <c r="C739" s="1" t="s">
        <v>1427</v>
      </c>
      <c r="E739">
        <f t="shared" si="11"/>
        <v>0</v>
      </c>
    </row>
    <row r="740" spans="1:5">
      <c r="A740" s="1">
        <f>IF(C740="","",COUNTA(C$4:C740))</f>
        <v>732</v>
      </c>
      <c r="B740" s="1" t="s">
        <v>1428</v>
      </c>
      <c r="C740" s="1" t="s">
        <v>1429</v>
      </c>
      <c r="E740">
        <f t="shared" si="11"/>
        <v>0</v>
      </c>
    </row>
    <row r="741" spans="1:5">
      <c r="A741" s="1">
        <f>IF(C741="","",COUNTA(C$4:C741))</f>
        <v>733</v>
      </c>
      <c r="B741" s="1" t="s">
        <v>415</v>
      </c>
      <c r="C741" s="1" t="s">
        <v>1430</v>
      </c>
      <c r="E741">
        <f t="shared" si="11"/>
        <v>0</v>
      </c>
    </row>
    <row r="742" spans="1:5">
      <c r="A742" s="1">
        <f>IF(C742="","",COUNTA(C$4:C742))</f>
        <v>734</v>
      </c>
      <c r="B742" s="1" t="s">
        <v>1431</v>
      </c>
      <c r="C742" s="1" t="s">
        <v>1432</v>
      </c>
      <c r="E742">
        <f t="shared" si="11"/>
        <v>0</v>
      </c>
    </row>
    <row r="743" spans="1:5">
      <c r="A743" s="1">
        <f>IF(C743="","",COUNTA(C$4:C743))</f>
        <v>735</v>
      </c>
      <c r="B743" s="1" t="s">
        <v>1433</v>
      </c>
      <c r="C743" s="1" t="s">
        <v>1434</v>
      </c>
      <c r="E743">
        <f t="shared" si="11"/>
        <v>0</v>
      </c>
    </row>
    <row r="744" spans="1:5">
      <c r="A744" s="1">
        <f>IF(C744="","",COUNTA(C$4:C744))</f>
        <v>736</v>
      </c>
      <c r="B744" s="1" t="s">
        <v>1435</v>
      </c>
      <c r="C744" s="1" t="s">
        <v>1436</v>
      </c>
      <c r="E744">
        <f t="shared" si="11"/>
        <v>0</v>
      </c>
    </row>
    <row r="745" spans="1:5">
      <c r="A745" s="1">
        <f>IF(C745="","",COUNTA(C$4:C745))</f>
        <v>737</v>
      </c>
      <c r="B745" s="1" t="s">
        <v>1437</v>
      </c>
      <c r="C745" s="1" t="s">
        <v>1438</v>
      </c>
      <c r="E745">
        <f t="shared" si="11"/>
        <v>0</v>
      </c>
    </row>
    <row r="746" spans="1:5">
      <c r="A746" s="1">
        <f>IF(C746="","",COUNTA(C$4:C746))</f>
        <v>738</v>
      </c>
      <c r="B746" s="1" t="s">
        <v>1439</v>
      </c>
      <c r="C746" s="1" t="s">
        <v>1440</v>
      </c>
      <c r="E746">
        <f t="shared" si="11"/>
        <v>0</v>
      </c>
    </row>
    <row r="747" spans="1:5">
      <c r="A747" s="12" t="s">
        <v>1441</v>
      </c>
      <c r="B747" s="13"/>
      <c r="C747" s="14"/>
      <c r="D747" s="9"/>
      <c r="E747">
        <f t="shared" si="11"/>
        <v>1</v>
      </c>
    </row>
    <row r="748" spans="1:5">
      <c r="A748" s="1">
        <f>IF(C748="","",COUNTA(C$4:C748))</f>
        <v>739</v>
      </c>
      <c r="B748" s="1" t="s">
        <v>1442</v>
      </c>
      <c r="C748" s="1" t="s">
        <v>1443</v>
      </c>
      <c r="E748">
        <f t="shared" si="11"/>
        <v>0</v>
      </c>
    </row>
    <row r="749" spans="1:5">
      <c r="A749" s="1">
        <f>IF(C749="","",COUNTA(C$4:C749))</f>
        <v>740</v>
      </c>
      <c r="B749" s="1" t="s">
        <v>1444</v>
      </c>
      <c r="C749" s="1" t="s">
        <v>1445</v>
      </c>
      <c r="E749">
        <f t="shared" si="11"/>
        <v>0</v>
      </c>
    </row>
    <row r="750" spans="1:5">
      <c r="A750" s="1">
        <f>IF(C750="","",COUNTA(C$4:C750))</f>
        <v>741</v>
      </c>
      <c r="B750" s="1" t="s">
        <v>1446</v>
      </c>
      <c r="C750" s="1" t="s">
        <v>1447</v>
      </c>
      <c r="E750">
        <f t="shared" si="11"/>
        <v>0</v>
      </c>
    </row>
    <row r="751" spans="1:5">
      <c r="A751" s="1">
        <f>IF(C751="","",COUNTA(C$4:C751))</f>
        <v>742</v>
      </c>
      <c r="B751" s="1" t="s">
        <v>1448</v>
      </c>
      <c r="C751" s="1" t="s">
        <v>1449</v>
      </c>
      <c r="E751">
        <f t="shared" si="11"/>
        <v>0</v>
      </c>
    </row>
    <row r="752" spans="1:5">
      <c r="A752" s="1">
        <f>IF(C752="","",COUNTA(C$4:C752))</f>
        <v>743</v>
      </c>
      <c r="B752" s="1" t="s">
        <v>1450</v>
      </c>
      <c r="C752" s="1" t="s">
        <v>1451</v>
      </c>
      <c r="E752">
        <f t="shared" si="11"/>
        <v>0</v>
      </c>
    </row>
    <row r="753" spans="1:5">
      <c r="A753" s="1">
        <f>IF(C753="","",COUNTA(C$4:C753))</f>
        <v>744</v>
      </c>
      <c r="B753" s="1" t="s">
        <v>1452</v>
      </c>
      <c r="C753" s="1" t="s">
        <v>1453</v>
      </c>
      <c r="E753">
        <f t="shared" si="11"/>
        <v>0</v>
      </c>
    </row>
    <row r="754" spans="1:5">
      <c r="A754" s="1">
        <f>IF(C754="","",COUNTA(C$4:C754))</f>
        <v>745</v>
      </c>
      <c r="B754" s="1" t="s">
        <v>1454</v>
      </c>
      <c r="C754" s="1" t="s">
        <v>1455</v>
      </c>
      <c r="E754">
        <f t="shared" si="11"/>
        <v>0</v>
      </c>
    </row>
    <row r="755" spans="1:5">
      <c r="A755" s="1">
        <f>IF(C755="","",COUNTA(C$4:C755))</f>
        <v>746</v>
      </c>
      <c r="B755" s="1" t="s">
        <v>1456</v>
      </c>
      <c r="C755" s="1" t="s">
        <v>1457</v>
      </c>
      <c r="E755">
        <f t="shared" si="11"/>
        <v>0</v>
      </c>
    </row>
    <row r="756" spans="1:5">
      <c r="A756" s="1">
        <f>IF(C756="","",COUNTA(C$4:C756))</f>
        <v>747</v>
      </c>
      <c r="B756" s="1" t="s">
        <v>1458</v>
      </c>
      <c r="C756" s="1" t="s">
        <v>1459</v>
      </c>
      <c r="E756">
        <f t="shared" si="11"/>
        <v>0</v>
      </c>
    </row>
    <row r="757" spans="1:5">
      <c r="A757" s="1">
        <f>IF(C757="","",COUNTA(C$4:C757))</f>
        <v>748</v>
      </c>
      <c r="B757" s="1" t="s">
        <v>1460</v>
      </c>
      <c r="C757" s="1" t="s">
        <v>1461</v>
      </c>
      <c r="E757">
        <f t="shared" si="11"/>
        <v>0</v>
      </c>
    </row>
    <row r="758" spans="1:5">
      <c r="A758" s="1">
        <f>IF(C758="","",COUNTA(C$4:C758))</f>
        <v>749</v>
      </c>
      <c r="B758" s="1" t="s">
        <v>1462</v>
      </c>
      <c r="C758" s="1" t="s">
        <v>1463</v>
      </c>
      <c r="E758">
        <f t="shared" si="11"/>
        <v>0</v>
      </c>
    </row>
    <row r="759" spans="1:5">
      <c r="A759" s="1">
        <f>IF(C759="","",COUNTA(C$4:C759))</f>
        <v>750</v>
      </c>
      <c r="B759" s="1" t="s">
        <v>1448</v>
      </c>
      <c r="C759" s="1" t="s">
        <v>1464</v>
      </c>
      <c r="E759">
        <f t="shared" si="11"/>
        <v>0</v>
      </c>
    </row>
    <row r="760" spans="1:5">
      <c r="A760" s="1">
        <f>IF(C760="","",COUNTA(C$4:C760))</f>
        <v>751</v>
      </c>
      <c r="B760" s="1" t="s">
        <v>1465</v>
      </c>
      <c r="C760" s="1" t="s">
        <v>1466</v>
      </c>
      <c r="E760">
        <f t="shared" si="11"/>
        <v>0</v>
      </c>
    </row>
    <row r="761" spans="1:5">
      <c r="A761" s="1">
        <f>IF(C761="","",COUNTA(C$4:C761))</f>
        <v>752</v>
      </c>
      <c r="B761" s="1" t="s">
        <v>1467</v>
      </c>
      <c r="C761" s="1" t="s">
        <v>1468</v>
      </c>
      <c r="E761">
        <f t="shared" si="11"/>
        <v>0</v>
      </c>
    </row>
    <row r="762" spans="1:5">
      <c r="A762" s="1">
        <f>IF(C762="","",COUNTA(C$4:C762))</f>
        <v>753</v>
      </c>
      <c r="B762" s="1" t="s">
        <v>1469</v>
      </c>
      <c r="C762" s="1" t="s">
        <v>1470</v>
      </c>
      <c r="E762">
        <f t="shared" si="11"/>
        <v>0</v>
      </c>
    </row>
    <row r="763" spans="1:5">
      <c r="A763" s="1">
        <f>IF(C763="","",COUNTA(C$4:C763))</f>
        <v>754</v>
      </c>
      <c r="B763" s="1" t="s">
        <v>1471</v>
      </c>
      <c r="C763" s="1" t="s">
        <v>1472</v>
      </c>
      <c r="E763">
        <f t="shared" si="11"/>
        <v>0</v>
      </c>
    </row>
    <row r="764" spans="1:5">
      <c r="A764" s="1">
        <f>IF(C764="","",COUNTA(C$4:C764))</f>
        <v>755</v>
      </c>
      <c r="B764" s="1" t="s">
        <v>1473</v>
      </c>
      <c r="C764" s="1" t="s">
        <v>1474</v>
      </c>
      <c r="E764">
        <f t="shared" si="11"/>
        <v>0</v>
      </c>
    </row>
    <row r="765" spans="1:5">
      <c r="A765" s="1">
        <f>IF(C765="","",COUNTA(C$4:C765))</f>
        <v>756</v>
      </c>
      <c r="B765" s="1" t="s">
        <v>1475</v>
      </c>
      <c r="C765" s="1" t="s">
        <v>1476</v>
      </c>
      <c r="E765">
        <f t="shared" si="11"/>
        <v>0</v>
      </c>
    </row>
    <row r="766" spans="1:5">
      <c r="A766" s="1">
        <f>IF(C766="","",COUNTA(C$4:C766))</f>
        <v>757</v>
      </c>
      <c r="B766" s="1" t="s">
        <v>1141</v>
      </c>
      <c r="C766" s="1" t="s">
        <v>1477</v>
      </c>
      <c r="E766">
        <f t="shared" si="11"/>
        <v>0</v>
      </c>
    </row>
    <row r="767" spans="1:5">
      <c r="A767" s="1">
        <f>IF(C767="","",COUNTA(C$4:C767))</f>
        <v>758</v>
      </c>
      <c r="B767" s="1" t="s">
        <v>1478</v>
      </c>
      <c r="C767" s="1" t="s">
        <v>1479</v>
      </c>
      <c r="E767">
        <f t="shared" si="11"/>
        <v>0</v>
      </c>
    </row>
    <row r="768" spans="1:5">
      <c r="A768" s="1">
        <f>IF(C768="","",COUNTA(C$4:C768))</f>
        <v>759</v>
      </c>
      <c r="B768" s="1" t="s">
        <v>1480</v>
      </c>
      <c r="C768" s="1" t="s">
        <v>1481</v>
      </c>
      <c r="E768">
        <f t="shared" si="11"/>
        <v>0</v>
      </c>
    </row>
    <row r="769" spans="1:5">
      <c r="A769" s="1">
        <f>IF(C769="","",COUNTA(C$4:C769))</f>
        <v>760</v>
      </c>
      <c r="B769" s="1" t="s">
        <v>1482</v>
      </c>
      <c r="C769" s="1" t="s">
        <v>1483</v>
      </c>
      <c r="E769">
        <f t="shared" si="11"/>
        <v>0</v>
      </c>
    </row>
    <row r="770" spans="1:5">
      <c r="A770" s="1">
        <f>IF(C770="","",COUNTA(C$4:C770))</f>
        <v>761</v>
      </c>
      <c r="B770" s="1" t="s">
        <v>1484</v>
      </c>
      <c r="C770" s="1" t="s">
        <v>1485</v>
      </c>
      <c r="E770">
        <f t="shared" si="11"/>
        <v>0</v>
      </c>
    </row>
    <row r="771" spans="1:5">
      <c r="A771" s="1">
        <f>IF(C771="","",COUNTA(C$4:C771))</f>
        <v>762</v>
      </c>
      <c r="B771" s="1" t="s">
        <v>1486</v>
      </c>
      <c r="C771" s="1" t="s">
        <v>1487</v>
      </c>
      <c r="E771">
        <f t="shared" si="11"/>
        <v>0</v>
      </c>
    </row>
    <row r="772" spans="1:5">
      <c r="A772" s="1">
        <f>IF(C772="","",COUNTA(C$4:C772))</f>
        <v>763</v>
      </c>
      <c r="B772" s="1" t="s">
        <v>1488</v>
      </c>
      <c r="C772" s="1" t="s">
        <v>1489</v>
      </c>
      <c r="E772">
        <f t="shared" si="11"/>
        <v>0</v>
      </c>
    </row>
    <row r="773" spans="1:5">
      <c r="A773" s="1">
        <f>IF(C773="","",COUNTA(C$4:C773))</f>
        <v>764</v>
      </c>
      <c r="B773" s="1" t="s">
        <v>1490</v>
      </c>
      <c r="C773" s="1" t="s">
        <v>1491</v>
      </c>
      <c r="E773">
        <f t="shared" ref="E773:E836" si="12">IF(C773=D773,1,0)</f>
        <v>0</v>
      </c>
    </row>
    <row r="774" spans="1:5">
      <c r="A774" s="1">
        <f>IF(C774="","",COUNTA(C$4:C774))</f>
        <v>765</v>
      </c>
      <c r="B774" s="1" t="s">
        <v>1492</v>
      </c>
      <c r="C774" s="1" t="s">
        <v>1493</v>
      </c>
      <c r="E774">
        <f t="shared" si="12"/>
        <v>0</v>
      </c>
    </row>
    <row r="775" spans="1:5">
      <c r="A775" s="1">
        <f>IF(C775="","",COUNTA(C$4:C775))</f>
        <v>766</v>
      </c>
      <c r="B775" s="1" t="s">
        <v>1494</v>
      </c>
      <c r="C775" s="1" t="s">
        <v>1495</v>
      </c>
      <c r="E775">
        <f t="shared" si="12"/>
        <v>0</v>
      </c>
    </row>
    <row r="776" spans="1:5">
      <c r="A776" s="1">
        <f>IF(C776="","",COUNTA(C$4:C776))</f>
        <v>767</v>
      </c>
      <c r="B776" s="1" t="s">
        <v>1496</v>
      </c>
      <c r="C776" s="1" t="s">
        <v>1497</v>
      </c>
      <c r="E776">
        <f t="shared" si="12"/>
        <v>0</v>
      </c>
    </row>
    <row r="777" spans="1:5">
      <c r="A777" s="1">
        <f>IF(C777="","",COUNTA(C$4:C777))</f>
        <v>768</v>
      </c>
      <c r="B777" s="1" t="s">
        <v>1498</v>
      </c>
      <c r="C777" s="1" t="s">
        <v>1499</v>
      </c>
      <c r="E777">
        <f t="shared" si="12"/>
        <v>0</v>
      </c>
    </row>
    <row r="778" spans="1:5">
      <c r="A778" s="1">
        <f>IF(C778="","",COUNTA(C$4:C778))</f>
        <v>769</v>
      </c>
      <c r="B778" s="1" t="s">
        <v>1500</v>
      </c>
      <c r="C778" s="1" t="s">
        <v>1501</v>
      </c>
      <c r="E778">
        <f t="shared" si="12"/>
        <v>0</v>
      </c>
    </row>
    <row r="779" spans="1:5">
      <c r="A779" s="1">
        <f>IF(C779="","",COUNTA(C$4:C779))</f>
        <v>770</v>
      </c>
      <c r="B779" s="1" t="s">
        <v>1502</v>
      </c>
      <c r="C779" s="1" t="s">
        <v>1503</v>
      </c>
      <c r="E779">
        <f t="shared" si="12"/>
        <v>0</v>
      </c>
    </row>
    <row r="780" spans="1:5">
      <c r="A780" s="1">
        <f>IF(C780="","",COUNTA(C$4:C780))</f>
        <v>771</v>
      </c>
      <c r="B780" s="1" t="s">
        <v>1504</v>
      </c>
      <c r="C780" s="1" t="s">
        <v>1505</v>
      </c>
      <c r="E780">
        <f t="shared" si="12"/>
        <v>0</v>
      </c>
    </row>
    <row r="781" spans="1:5">
      <c r="A781" s="1">
        <f>IF(C781="","",COUNTA(C$4:C781))</f>
        <v>772</v>
      </c>
      <c r="B781" s="1" t="s">
        <v>1506</v>
      </c>
      <c r="C781" s="1" t="s">
        <v>1507</v>
      </c>
      <c r="E781">
        <f t="shared" si="12"/>
        <v>0</v>
      </c>
    </row>
    <row r="782" spans="1:5">
      <c r="A782" s="1">
        <f>IF(C782="","",COUNTA(C$4:C782))</f>
        <v>773</v>
      </c>
      <c r="B782" s="1" t="s">
        <v>1508</v>
      </c>
      <c r="C782" s="1" t="s">
        <v>1509</v>
      </c>
      <c r="E782">
        <f t="shared" si="12"/>
        <v>0</v>
      </c>
    </row>
    <row r="783" spans="1:5">
      <c r="A783" s="1">
        <f>IF(C783="","",COUNTA(C$4:C783))</f>
        <v>774</v>
      </c>
      <c r="B783" s="1" t="s">
        <v>55</v>
      </c>
      <c r="C783" s="1" t="s">
        <v>1510</v>
      </c>
      <c r="E783">
        <f t="shared" si="12"/>
        <v>0</v>
      </c>
    </row>
    <row r="784" spans="1:5">
      <c r="A784" s="1">
        <f>IF(C784="","",COUNTA(C$4:C784))</f>
        <v>775</v>
      </c>
      <c r="B784" s="1" t="s">
        <v>1511</v>
      </c>
      <c r="C784" s="1" t="s">
        <v>1512</v>
      </c>
      <c r="E784">
        <f t="shared" si="12"/>
        <v>0</v>
      </c>
    </row>
    <row r="785" spans="1:5">
      <c r="A785" s="1">
        <f>IF(C785="","",COUNTA(C$4:C785))</f>
        <v>776</v>
      </c>
      <c r="B785" s="1" t="s">
        <v>1473</v>
      </c>
      <c r="C785" s="1" t="s">
        <v>1513</v>
      </c>
      <c r="E785">
        <f t="shared" si="12"/>
        <v>0</v>
      </c>
    </row>
    <row r="786" spans="1:5">
      <c r="A786" s="1">
        <f>IF(C786="","",COUNTA(C$4:C786))</f>
        <v>777</v>
      </c>
      <c r="B786" s="1" t="s">
        <v>1514</v>
      </c>
      <c r="C786" s="1" t="s">
        <v>1515</v>
      </c>
      <c r="E786">
        <f t="shared" si="12"/>
        <v>0</v>
      </c>
    </row>
    <row r="787" spans="1:5">
      <c r="A787" s="1">
        <f>IF(C787="","",COUNTA(C$4:C787))</f>
        <v>778</v>
      </c>
      <c r="B787" s="1" t="s">
        <v>1516</v>
      </c>
      <c r="C787" s="1" t="s">
        <v>1517</v>
      </c>
      <c r="E787">
        <f t="shared" si="12"/>
        <v>0</v>
      </c>
    </row>
    <row r="788" spans="1:5">
      <c r="A788" s="1">
        <f>IF(C788="","",COUNTA(C$4:C788))</f>
        <v>779</v>
      </c>
      <c r="B788" s="1" t="s">
        <v>1518</v>
      </c>
      <c r="C788" s="1" t="s">
        <v>1519</v>
      </c>
      <c r="E788">
        <f t="shared" si="12"/>
        <v>0</v>
      </c>
    </row>
    <row r="789" spans="1:5">
      <c r="A789" s="1">
        <f>IF(C789="","",COUNTA(C$4:C789))</f>
        <v>780</v>
      </c>
      <c r="B789" s="1" t="s">
        <v>1520</v>
      </c>
      <c r="C789" s="1" t="s">
        <v>1521</v>
      </c>
      <c r="E789">
        <f t="shared" si="12"/>
        <v>0</v>
      </c>
    </row>
    <row r="790" spans="1:5">
      <c r="A790" s="1">
        <f>IF(C790="","",COUNTA(C$4:C790))</f>
        <v>781</v>
      </c>
      <c r="B790" s="1" t="s">
        <v>1522</v>
      </c>
      <c r="C790" s="1" t="s">
        <v>1523</v>
      </c>
      <c r="E790">
        <f t="shared" si="12"/>
        <v>0</v>
      </c>
    </row>
    <row r="791" spans="1:5">
      <c r="A791" s="1">
        <f>IF(C791="","",COUNTA(C$4:C791))</f>
        <v>782</v>
      </c>
      <c r="B791" s="1" t="s">
        <v>1524</v>
      </c>
      <c r="C791" s="1" t="s">
        <v>1525</v>
      </c>
      <c r="E791">
        <f t="shared" si="12"/>
        <v>0</v>
      </c>
    </row>
    <row r="792" spans="1:5">
      <c r="A792" s="1">
        <f>IF(C792="","",COUNTA(C$4:C792))</f>
        <v>783</v>
      </c>
      <c r="B792" s="1" t="s">
        <v>1526</v>
      </c>
      <c r="C792" s="1" t="s">
        <v>1527</v>
      </c>
      <c r="E792">
        <f t="shared" si="12"/>
        <v>0</v>
      </c>
    </row>
    <row r="793" spans="1:5">
      <c r="A793" s="1">
        <f>IF(C793="","",COUNTA(C$4:C793))</f>
        <v>784</v>
      </c>
      <c r="B793" s="1" t="s">
        <v>1528</v>
      </c>
      <c r="C793" s="1" t="s">
        <v>1529</v>
      </c>
      <c r="E793">
        <f t="shared" si="12"/>
        <v>0</v>
      </c>
    </row>
    <row r="794" spans="1:5">
      <c r="A794" s="1">
        <f>IF(C794="","",COUNTA(C$4:C794))</f>
        <v>785</v>
      </c>
      <c r="B794" s="1" t="s">
        <v>1530</v>
      </c>
      <c r="C794" s="1" t="s">
        <v>1531</v>
      </c>
      <c r="E794">
        <f t="shared" si="12"/>
        <v>0</v>
      </c>
    </row>
    <row r="795" spans="1:5">
      <c r="A795" s="1">
        <f>IF(C795="","",COUNTA(C$4:C795))</f>
        <v>786</v>
      </c>
      <c r="B795" s="1" t="s">
        <v>1532</v>
      </c>
      <c r="C795" s="1" t="s">
        <v>1533</v>
      </c>
      <c r="E795">
        <f t="shared" si="12"/>
        <v>0</v>
      </c>
    </row>
    <row r="796" spans="1:5">
      <c r="A796" s="1">
        <f>IF(C796="","",COUNTA(C$4:C796))</f>
        <v>787</v>
      </c>
      <c r="B796" s="1" t="s">
        <v>1530</v>
      </c>
      <c r="C796" s="1" t="s">
        <v>1534</v>
      </c>
      <c r="E796">
        <f t="shared" si="12"/>
        <v>0</v>
      </c>
    </row>
    <row r="797" spans="1:5">
      <c r="A797" s="1">
        <f>IF(C797="","",COUNTA(C$4:C797))</f>
        <v>788</v>
      </c>
      <c r="B797" s="1" t="s">
        <v>1535</v>
      </c>
      <c r="C797" s="1" t="s">
        <v>1536</v>
      </c>
      <c r="E797">
        <f t="shared" si="12"/>
        <v>0</v>
      </c>
    </row>
    <row r="798" spans="1:5">
      <c r="A798" s="1">
        <f>IF(C798="","",COUNTA(C$4:C798))</f>
        <v>789</v>
      </c>
      <c r="B798" s="1" t="s">
        <v>1537</v>
      </c>
      <c r="C798" s="1" t="s">
        <v>1538</v>
      </c>
      <c r="E798">
        <f t="shared" si="12"/>
        <v>0</v>
      </c>
    </row>
    <row r="799" spans="1:5">
      <c r="A799" s="1">
        <f>IF(C799="","",COUNTA(C$4:C799))</f>
        <v>790</v>
      </c>
      <c r="B799" s="1" t="s">
        <v>1539</v>
      </c>
      <c r="C799" s="1" t="s">
        <v>1540</v>
      </c>
      <c r="E799">
        <f t="shared" si="12"/>
        <v>0</v>
      </c>
    </row>
    <row r="800" spans="1:5">
      <c r="A800" s="1">
        <f>IF(C800="","",COUNTA(C$4:C800))</f>
        <v>791</v>
      </c>
      <c r="B800" s="1" t="s">
        <v>1541</v>
      </c>
      <c r="C800" s="1" t="s">
        <v>1542</v>
      </c>
      <c r="E800">
        <f t="shared" si="12"/>
        <v>0</v>
      </c>
    </row>
    <row r="801" spans="1:5">
      <c r="A801" s="1">
        <f>IF(C801="","",COUNTA(C$4:C801))</f>
        <v>792</v>
      </c>
      <c r="B801" s="1" t="s">
        <v>1543</v>
      </c>
      <c r="C801" s="1" t="s">
        <v>1544</v>
      </c>
      <c r="E801">
        <f t="shared" si="12"/>
        <v>0</v>
      </c>
    </row>
    <row r="802" spans="1:5">
      <c r="A802" s="1">
        <f>IF(C802="","",COUNTA(C$4:C802))</f>
        <v>793</v>
      </c>
      <c r="B802" s="1" t="s">
        <v>1545</v>
      </c>
      <c r="C802" s="1" t="s">
        <v>1546</v>
      </c>
      <c r="E802">
        <f t="shared" si="12"/>
        <v>0</v>
      </c>
    </row>
    <row r="803" spans="1:5">
      <c r="A803" s="1">
        <f>IF(C803="","",COUNTA(C$4:C803))</f>
        <v>794</v>
      </c>
      <c r="B803" s="1" t="s">
        <v>1547</v>
      </c>
      <c r="C803" s="1" t="s">
        <v>1548</v>
      </c>
      <c r="E803">
        <f t="shared" si="12"/>
        <v>0</v>
      </c>
    </row>
    <row r="804" spans="1:5">
      <c r="A804" s="1">
        <f>IF(C804="","",COUNTA(C$4:C804))</f>
        <v>795</v>
      </c>
      <c r="B804" s="1" t="s">
        <v>1549</v>
      </c>
      <c r="C804" s="1" t="s">
        <v>1550</v>
      </c>
      <c r="E804">
        <f t="shared" si="12"/>
        <v>0</v>
      </c>
    </row>
    <row r="805" spans="1:5">
      <c r="A805" s="1">
        <f>IF(C805="","",COUNTA(C$4:C805))</f>
        <v>796</v>
      </c>
      <c r="B805" s="1" t="s">
        <v>1551</v>
      </c>
      <c r="C805" s="1" t="s">
        <v>1552</v>
      </c>
      <c r="E805">
        <f t="shared" si="12"/>
        <v>0</v>
      </c>
    </row>
    <row r="806" spans="1:5">
      <c r="A806" s="1">
        <f>IF(C806="","",COUNTA(C$4:C806))</f>
        <v>797</v>
      </c>
      <c r="B806" s="1" t="s">
        <v>1553</v>
      </c>
      <c r="C806" s="1" t="s">
        <v>1554</v>
      </c>
      <c r="E806">
        <f t="shared" si="12"/>
        <v>0</v>
      </c>
    </row>
    <row r="807" spans="1:5">
      <c r="A807" s="1">
        <f>IF(C807="","",COUNTA(C$4:C807))</f>
        <v>798</v>
      </c>
      <c r="B807" s="1" t="s">
        <v>1555</v>
      </c>
      <c r="C807" s="1" t="s">
        <v>1556</v>
      </c>
      <c r="E807">
        <f t="shared" si="12"/>
        <v>0</v>
      </c>
    </row>
    <row r="808" spans="1:5">
      <c r="A808" s="1">
        <f>IF(C808="","",COUNTA(C$4:C808))</f>
        <v>799</v>
      </c>
      <c r="B808" s="1" t="s">
        <v>1557</v>
      </c>
      <c r="C808" s="1" t="s">
        <v>1558</v>
      </c>
      <c r="E808">
        <f t="shared" si="12"/>
        <v>0</v>
      </c>
    </row>
    <row r="809" spans="1:5">
      <c r="A809" s="1">
        <f>IF(C809="","",COUNTA(C$4:C809))</f>
        <v>800</v>
      </c>
      <c r="B809" s="1" t="s">
        <v>1559</v>
      </c>
      <c r="C809" s="1" t="s">
        <v>1560</v>
      </c>
      <c r="E809">
        <f t="shared" si="12"/>
        <v>0</v>
      </c>
    </row>
    <row r="810" spans="1:5">
      <c r="A810" s="1">
        <f>IF(C810="","",COUNTA(C$4:C810))</f>
        <v>801</v>
      </c>
      <c r="B810" s="1" t="s">
        <v>1561</v>
      </c>
      <c r="C810" s="1" t="s">
        <v>1562</v>
      </c>
      <c r="E810">
        <f t="shared" si="12"/>
        <v>0</v>
      </c>
    </row>
    <row r="811" spans="1:5">
      <c r="A811" s="1">
        <f>IF(C811="","",COUNTA(C$4:C811))</f>
        <v>802</v>
      </c>
      <c r="B811" s="1" t="s">
        <v>1563</v>
      </c>
      <c r="C811" s="1" t="s">
        <v>1564</v>
      </c>
      <c r="E811">
        <f t="shared" si="12"/>
        <v>0</v>
      </c>
    </row>
    <row r="812" spans="1:5">
      <c r="A812" s="1">
        <f>IF(C812="","",COUNTA(C$4:C812))</f>
        <v>803</v>
      </c>
      <c r="B812" s="1" t="s">
        <v>1565</v>
      </c>
      <c r="C812" s="1" t="s">
        <v>1566</v>
      </c>
      <c r="E812">
        <f t="shared" si="12"/>
        <v>0</v>
      </c>
    </row>
    <row r="813" spans="1:5">
      <c r="A813" s="1">
        <f>IF(C813="","",COUNTA(C$4:C813))</f>
        <v>804</v>
      </c>
      <c r="B813" s="1" t="s">
        <v>79</v>
      </c>
      <c r="C813" s="1" t="s">
        <v>1567</v>
      </c>
      <c r="E813">
        <f t="shared" si="12"/>
        <v>0</v>
      </c>
    </row>
    <row r="814" spans="1:5">
      <c r="A814" s="1">
        <f>IF(C814="","",COUNTA(C$4:C814))</f>
        <v>805</v>
      </c>
      <c r="B814" s="1" t="s">
        <v>1568</v>
      </c>
      <c r="C814" s="1" t="s">
        <v>1569</v>
      </c>
      <c r="E814">
        <f t="shared" si="12"/>
        <v>0</v>
      </c>
    </row>
    <row r="815" spans="1:5">
      <c r="A815" s="1">
        <f>IF(C815="","",COUNTA(C$4:C815))</f>
        <v>806</v>
      </c>
      <c r="B815" s="1" t="s">
        <v>1570</v>
      </c>
      <c r="C815" s="1" t="s">
        <v>1571</v>
      </c>
      <c r="E815">
        <f t="shared" si="12"/>
        <v>0</v>
      </c>
    </row>
    <row r="816" spans="1:5">
      <c r="A816" s="1">
        <f>IF(C816="","",COUNTA(C$4:C816))</f>
        <v>807</v>
      </c>
      <c r="B816" s="1" t="s">
        <v>1570</v>
      </c>
      <c r="C816" s="1" t="s">
        <v>1572</v>
      </c>
      <c r="E816">
        <f t="shared" si="12"/>
        <v>0</v>
      </c>
    </row>
    <row r="817" spans="1:5">
      <c r="A817" s="1">
        <f>IF(C817="","",COUNTA(C$4:C817))</f>
        <v>808</v>
      </c>
      <c r="B817" s="1" t="s">
        <v>1573</v>
      </c>
      <c r="C817" s="1" t="s">
        <v>1574</v>
      </c>
      <c r="E817">
        <f t="shared" si="12"/>
        <v>0</v>
      </c>
    </row>
    <row r="818" spans="1:5">
      <c r="A818" s="1">
        <f>IF(C818="","",COUNTA(C$4:C818))</f>
        <v>809</v>
      </c>
      <c r="B818" s="1" t="s">
        <v>1575</v>
      </c>
      <c r="C818" s="1" t="s">
        <v>1576</v>
      </c>
      <c r="E818">
        <f t="shared" si="12"/>
        <v>0</v>
      </c>
    </row>
    <row r="819" spans="1:5">
      <c r="A819" s="1">
        <f>IF(C819="","",COUNTA(C$4:C819))</f>
        <v>810</v>
      </c>
      <c r="B819" s="1" t="s">
        <v>1577</v>
      </c>
      <c r="C819" s="1" t="s">
        <v>1578</v>
      </c>
      <c r="E819">
        <f t="shared" si="12"/>
        <v>0</v>
      </c>
    </row>
    <row r="820" spans="1:5">
      <c r="A820" s="1">
        <f>IF(C820="","",COUNTA(C$4:C820))</f>
        <v>811</v>
      </c>
      <c r="B820" s="1" t="s">
        <v>1579</v>
      </c>
      <c r="C820" s="1" t="s">
        <v>1580</v>
      </c>
      <c r="E820">
        <f t="shared" si="12"/>
        <v>0</v>
      </c>
    </row>
    <row r="821" spans="1:5">
      <c r="A821" s="1">
        <f>IF(C821="","",COUNTA(C$4:C821))</f>
        <v>812</v>
      </c>
      <c r="B821" s="1" t="s">
        <v>1581</v>
      </c>
      <c r="C821" s="1" t="s">
        <v>1582</v>
      </c>
      <c r="E821">
        <f t="shared" si="12"/>
        <v>0</v>
      </c>
    </row>
    <row r="822" spans="1:5">
      <c r="A822" s="1">
        <f>IF(C822="","",COUNTA(C$4:C822))</f>
        <v>813</v>
      </c>
      <c r="B822" s="1" t="s">
        <v>1583</v>
      </c>
      <c r="C822" s="1" t="s">
        <v>1584</v>
      </c>
      <c r="E822">
        <f t="shared" si="12"/>
        <v>0</v>
      </c>
    </row>
    <row r="823" spans="1:5">
      <c r="A823" s="1">
        <f>IF(C823="","",COUNTA(C$4:C823))</f>
        <v>814</v>
      </c>
      <c r="B823" s="1" t="s">
        <v>1585</v>
      </c>
      <c r="C823" s="1" t="s">
        <v>1586</v>
      </c>
      <c r="E823">
        <f t="shared" si="12"/>
        <v>0</v>
      </c>
    </row>
    <row r="824" spans="1:5">
      <c r="A824" s="1">
        <f>IF(C824="","",COUNTA(C$4:C824))</f>
        <v>815</v>
      </c>
      <c r="B824" s="1" t="s">
        <v>1587</v>
      </c>
      <c r="C824" s="1" t="s">
        <v>1588</v>
      </c>
      <c r="E824">
        <f t="shared" si="12"/>
        <v>0</v>
      </c>
    </row>
    <row r="825" spans="1:5">
      <c r="A825" s="1">
        <f>IF(C825="","",COUNTA(C$4:C825))</f>
        <v>816</v>
      </c>
      <c r="B825" s="1" t="s">
        <v>1589</v>
      </c>
      <c r="C825" s="1" t="s">
        <v>1590</v>
      </c>
      <c r="E825">
        <f t="shared" si="12"/>
        <v>0</v>
      </c>
    </row>
    <row r="826" spans="1:5">
      <c r="A826" s="1">
        <f>IF(C826="","",COUNTA(C$4:C826))</f>
        <v>817</v>
      </c>
      <c r="B826" s="1" t="s">
        <v>1591</v>
      </c>
      <c r="C826" s="1" t="s">
        <v>1592</v>
      </c>
      <c r="E826">
        <f t="shared" si="12"/>
        <v>0</v>
      </c>
    </row>
    <row r="827" spans="1:5">
      <c r="A827" s="1">
        <f>IF(C827="","",COUNTA(C$4:C827))</f>
        <v>818</v>
      </c>
      <c r="B827" s="1" t="s">
        <v>1593</v>
      </c>
      <c r="C827" s="1" t="s">
        <v>1594</v>
      </c>
      <c r="E827">
        <f t="shared" si="12"/>
        <v>0</v>
      </c>
    </row>
    <row r="828" spans="1:5">
      <c r="A828" s="1">
        <f>IF(C828="","",COUNTA(C$4:C828))</f>
        <v>819</v>
      </c>
      <c r="B828" s="1" t="s">
        <v>1595</v>
      </c>
      <c r="C828" s="1" t="s">
        <v>1596</v>
      </c>
      <c r="E828">
        <f t="shared" si="12"/>
        <v>0</v>
      </c>
    </row>
    <row r="829" spans="1:5">
      <c r="A829" s="1">
        <f>IF(C829="","",COUNTA(C$4:C829))</f>
        <v>820</v>
      </c>
      <c r="B829" s="1" t="s">
        <v>1597</v>
      </c>
      <c r="C829" s="1" t="s">
        <v>1598</v>
      </c>
      <c r="E829">
        <f t="shared" si="12"/>
        <v>0</v>
      </c>
    </row>
    <row r="830" spans="1:5">
      <c r="A830" s="1">
        <f>IF(C830="","",COUNTA(C$4:C830))</f>
        <v>821</v>
      </c>
      <c r="B830" s="1" t="s">
        <v>1599</v>
      </c>
      <c r="C830" s="1" t="s">
        <v>1600</v>
      </c>
      <c r="E830">
        <f t="shared" si="12"/>
        <v>0</v>
      </c>
    </row>
    <row r="831" spans="1:5">
      <c r="A831" s="1">
        <f>IF(C831="","",COUNTA(C$4:C831))</f>
        <v>822</v>
      </c>
      <c r="B831" s="1" t="s">
        <v>1601</v>
      </c>
      <c r="C831" s="1" t="s">
        <v>1602</v>
      </c>
      <c r="E831">
        <f t="shared" si="12"/>
        <v>0</v>
      </c>
    </row>
    <row r="832" spans="1:5">
      <c r="A832" s="1">
        <f>IF(C832="","",COUNTA(C$4:C832))</f>
        <v>823</v>
      </c>
      <c r="B832" s="1" t="s">
        <v>1603</v>
      </c>
      <c r="C832" s="1" t="s">
        <v>1604</v>
      </c>
      <c r="E832">
        <f t="shared" si="12"/>
        <v>0</v>
      </c>
    </row>
    <row r="833" spans="1:5">
      <c r="A833" s="1">
        <f>IF(C833="","",COUNTA(C$4:C833))</f>
        <v>824</v>
      </c>
      <c r="B833" s="1" t="s">
        <v>1605</v>
      </c>
      <c r="C833" s="1" t="s">
        <v>1606</v>
      </c>
      <c r="E833">
        <f t="shared" si="12"/>
        <v>0</v>
      </c>
    </row>
    <row r="834" spans="1:5">
      <c r="A834" s="1">
        <f>IF(C834="","",COUNTA(C$4:C834))</f>
        <v>825</v>
      </c>
      <c r="B834" s="1" t="s">
        <v>1607</v>
      </c>
      <c r="C834" s="1" t="s">
        <v>1608</v>
      </c>
      <c r="E834">
        <f t="shared" si="12"/>
        <v>0</v>
      </c>
    </row>
    <row r="835" spans="1:5">
      <c r="A835" s="1">
        <f>IF(C835="","",COUNTA(C$4:C835))</f>
        <v>826</v>
      </c>
      <c r="B835" s="1" t="s">
        <v>1609</v>
      </c>
      <c r="C835" s="1" t="s">
        <v>1610</v>
      </c>
      <c r="E835">
        <f t="shared" si="12"/>
        <v>0</v>
      </c>
    </row>
    <row r="836" spans="1:5">
      <c r="A836" s="1">
        <f>IF(C836="","",COUNTA(C$4:C836))</f>
        <v>827</v>
      </c>
      <c r="B836" s="1" t="s">
        <v>67</v>
      </c>
      <c r="C836" s="1" t="s">
        <v>1611</v>
      </c>
      <c r="E836">
        <f t="shared" si="12"/>
        <v>0</v>
      </c>
    </row>
    <row r="837" spans="1:5">
      <c r="A837" s="1">
        <f>IF(C837="","",COUNTA(C$4:C837))</f>
        <v>828</v>
      </c>
      <c r="B837" s="1" t="s">
        <v>1612</v>
      </c>
      <c r="C837" s="1" t="s">
        <v>1613</v>
      </c>
      <c r="E837">
        <f t="shared" ref="E837:E900" si="13">IF(C837=D837,1,0)</f>
        <v>0</v>
      </c>
    </row>
    <row r="838" spans="1:5">
      <c r="A838" s="1">
        <f>IF(C838="","",COUNTA(C$4:C838))</f>
        <v>829</v>
      </c>
      <c r="B838" s="1" t="s">
        <v>662</v>
      </c>
      <c r="C838" s="1" t="s">
        <v>1614</v>
      </c>
      <c r="E838">
        <f t="shared" si="13"/>
        <v>0</v>
      </c>
    </row>
    <row r="839" spans="1:5">
      <c r="A839" s="1">
        <f>IF(C839="","",COUNTA(C$4:C839))</f>
        <v>830</v>
      </c>
      <c r="B839" s="1" t="s">
        <v>1615</v>
      </c>
      <c r="C839" s="1" t="s">
        <v>1616</v>
      </c>
      <c r="E839">
        <f t="shared" si="13"/>
        <v>0</v>
      </c>
    </row>
    <row r="840" spans="1:5">
      <c r="A840" s="1">
        <f>IF(C840="","",COUNTA(C$4:C840))</f>
        <v>831</v>
      </c>
      <c r="B840" s="1" t="s">
        <v>1617</v>
      </c>
      <c r="C840" s="1" t="s">
        <v>1618</v>
      </c>
      <c r="E840">
        <f t="shared" si="13"/>
        <v>0</v>
      </c>
    </row>
    <row r="841" spans="1:5">
      <c r="A841" s="1">
        <f>IF(C841="","",COUNTA(C$4:C841))</f>
        <v>832</v>
      </c>
      <c r="B841" s="1" t="s">
        <v>1619</v>
      </c>
      <c r="C841" s="1" t="s">
        <v>1620</v>
      </c>
      <c r="E841">
        <f t="shared" si="13"/>
        <v>0</v>
      </c>
    </row>
    <row r="842" spans="1:5">
      <c r="A842" s="1">
        <f>IF(C842="","",COUNTA(C$4:C842))</f>
        <v>833</v>
      </c>
      <c r="B842" s="1" t="s">
        <v>1621</v>
      </c>
      <c r="C842" s="1" t="s">
        <v>1622</v>
      </c>
      <c r="E842">
        <f t="shared" si="13"/>
        <v>0</v>
      </c>
    </row>
    <row r="843" spans="1:5">
      <c r="A843" s="1">
        <f>IF(C843="","",COUNTA(C$4:C843))</f>
        <v>834</v>
      </c>
      <c r="B843" s="1" t="s">
        <v>1623</v>
      </c>
      <c r="C843" s="1" t="s">
        <v>1624</v>
      </c>
      <c r="E843">
        <f t="shared" si="13"/>
        <v>0</v>
      </c>
    </row>
    <row r="844" spans="1:5">
      <c r="A844" s="1">
        <f>IF(C844="","",COUNTA(C$4:C844))</f>
        <v>835</v>
      </c>
      <c r="B844" s="1" t="s">
        <v>1625</v>
      </c>
      <c r="C844" s="1" t="s">
        <v>1626</v>
      </c>
      <c r="E844">
        <f t="shared" si="13"/>
        <v>0</v>
      </c>
    </row>
    <row r="845" spans="1:5">
      <c r="A845" s="1">
        <f>IF(C845="","",COUNTA(C$4:C845))</f>
        <v>836</v>
      </c>
      <c r="B845" s="1" t="s">
        <v>1625</v>
      </c>
      <c r="C845" s="1" t="s">
        <v>1627</v>
      </c>
      <c r="E845">
        <f t="shared" si="13"/>
        <v>0</v>
      </c>
    </row>
    <row r="846" spans="1:5">
      <c r="A846" s="1">
        <f>IF(C846="","",COUNTA(C$4:C846))</f>
        <v>837</v>
      </c>
      <c r="B846" s="1" t="s">
        <v>19</v>
      </c>
      <c r="C846" s="1" t="s">
        <v>1628</v>
      </c>
      <c r="E846">
        <f t="shared" si="13"/>
        <v>0</v>
      </c>
    </row>
    <row r="847" spans="1:5">
      <c r="A847" s="1">
        <f>IF(C847="","",COUNTA(C$4:C847))</f>
        <v>838</v>
      </c>
      <c r="B847" s="1" t="s">
        <v>1629</v>
      </c>
      <c r="C847" s="1" t="s">
        <v>1630</v>
      </c>
      <c r="E847">
        <f t="shared" si="13"/>
        <v>0</v>
      </c>
    </row>
    <row r="848" spans="1:5">
      <c r="A848" s="1">
        <f>IF(C848="","",COUNTA(C$4:C848))</f>
        <v>839</v>
      </c>
      <c r="B848" s="1" t="s">
        <v>1631</v>
      </c>
      <c r="C848" s="1" t="s">
        <v>1632</v>
      </c>
      <c r="E848">
        <f t="shared" si="13"/>
        <v>0</v>
      </c>
    </row>
    <row r="849" spans="1:5">
      <c r="A849" s="1">
        <f>IF(C849="","",COUNTA(C$4:C849))</f>
        <v>840</v>
      </c>
      <c r="B849" s="1" t="s">
        <v>1633</v>
      </c>
      <c r="C849" s="1" t="s">
        <v>1634</v>
      </c>
      <c r="E849">
        <f t="shared" si="13"/>
        <v>0</v>
      </c>
    </row>
    <row r="850" spans="1:5">
      <c r="A850" s="1">
        <f>IF(C850="","",COUNTA(C$4:C850))</f>
        <v>841</v>
      </c>
      <c r="B850" s="1" t="s">
        <v>1635</v>
      </c>
      <c r="C850" s="1" t="s">
        <v>1636</v>
      </c>
      <c r="E850">
        <f t="shared" si="13"/>
        <v>0</v>
      </c>
    </row>
    <row r="851" spans="1:5">
      <c r="A851" s="1">
        <f>IF(C851="","",COUNTA(C$4:C851))</f>
        <v>842</v>
      </c>
      <c r="B851" s="1" t="s">
        <v>1637</v>
      </c>
      <c r="C851" s="1" t="s">
        <v>1638</v>
      </c>
      <c r="E851">
        <f t="shared" si="13"/>
        <v>0</v>
      </c>
    </row>
    <row r="852" spans="1:5">
      <c r="A852" s="12" t="s">
        <v>1639</v>
      </c>
      <c r="B852" s="13"/>
      <c r="C852" s="14"/>
      <c r="D852" s="9"/>
      <c r="E852">
        <f t="shared" si="13"/>
        <v>1</v>
      </c>
    </row>
    <row r="853" spans="1:5">
      <c r="A853" s="1">
        <f>IF(C853="","",COUNTA(C$4:C853))</f>
        <v>843</v>
      </c>
      <c r="B853" s="1" t="s">
        <v>1640</v>
      </c>
      <c r="C853" s="1" t="s">
        <v>1641</v>
      </c>
      <c r="E853">
        <f t="shared" si="13"/>
        <v>0</v>
      </c>
    </row>
    <row r="854" spans="1:5">
      <c r="A854" s="1">
        <f>IF(C854="","",COUNTA(C$4:C854))</f>
        <v>844</v>
      </c>
      <c r="B854" s="1" t="s">
        <v>1642</v>
      </c>
      <c r="C854" s="1" t="s">
        <v>1643</v>
      </c>
      <c r="E854">
        <f t="shared" si="13"/>
        <v>0</v>
      </c>
    </row>
    <row r="855" spans="1:5">
      <c r="A855" s="1">
        <f>IF(C855="","",COUNTA(C$4:C855))</f>
        <v>845</v>
      </c>
      <c r="B855" s="1" t="s">
        <v>1644</v>
      </c>
      <c r="C855" s="1" t="s">
        <v>1645</v>
      </c>
      <c r="E855">
        <f t="shared" si="13"/>
        <v>0</v>
      </c>
    </row>
    <row r="856" spans="1:5">
      <c r="A856" s="1">
        <f>IF(C856="","",COUNTA(C$4:C856))</f>
        <v>846</v>
      </c>
      <c r="B856" s="1" t="s">
        <v>1646</v>
      </c>
      <c r="C856" s="1" t="s">
        <v>1647</v>
      </c>
      <c r="E856">
        <f t="shared" si="13"/>
        <v>0</v>
      </c>
    </row>
    <row r="857" spans="1:5">
      <c r="A857" s="1">
        <f>IF(C857="","",COUNTA(C$4:C857))</f>
        <v>847</v>
      </c>
      <c r="B857" s="1" t="s">
        <v>1648</v>
      </c>
      <c r="C857" s="1" t="s">
        <v>1649</v>
      </c>
      <c r="E857">
        <f t="shared" si="13"/>
        <v>0</v>
      </c>
    </row>
    <row r="858" spans="1:5">
      <c r="A858" s="1">
        <f>IF(C858="","",COUNTA(C$4:C858))</f>
        <v>848</v>
      </c>
      <c r="B858" s="1" t="s">
        <v>1650</v>
      </c>
      <c r="C858" s="1" t="s">
        <v>1651</v>
      </c>
      <c r="E858">
        <f t="shared" si="13"/>
        <v>0</v>
      </c>
    </row>
    <row r="859" spans="1:5">
      <c r="A859" s="1">
        <f>IF(C859="","",COUNTA(C$4:C859))</f>
        <v>849</v>
      </c>
      <c r="B859" s="1" t="s">
        <v>1652</v>
      </c>
      <c r="C859" s="1" t="s">
        <v>1653</v>
      </c>
      <c r="E859">
        <f t="shared" si="13"/>
        <v>0</v>
      </c>
    </row>
    <row r="860" spans="1:5">
      <c r="A860" s="1">
        <f>IF(C860="","",COUNTA(C$4:C860))</f>
        <v>850</v>
      </c>
      <c r="B860" s="1" t="s">
        <v>1654</v>
      </c>
      <c r="C860" s="1" t="s">
        <v>1655</v>
      </c>
      <c r="E860">
        <f t="shared" si="13"/>
        <v>0</v>
      </c>
    </row>
    <row r="861" spans="1:5">
      <c r="A861" s="1">
        <f>IF(C861="","",COUNTA(C$4:C861))</f>
        <v>851</v>
      </c>
      <c r="B861" s="1" t="s">
        <v>1654</v>
      </c>
      <c r="C861" s="1" t="s">
        <v>1656</v>
      </c>
      <c r="E861">
        <f t="shared" si="13"/>
        <v>0</v>
      </c>
    </row>
    <row r="862" spans="1:5">
      <c r="A862" s="1">
        <f>IF(C862="","",COUNTA(C$4:C862))</f>
        <v>852</v>
      </c>
      <c r="B862" s="1" t="s">
        <v>1657</v>
      </c>
      <c r="C862" s="1" t="s">
        <v>1658</v>
      </c>
      <c r="E862">
        <f t="shared" si="13"/>
        <v>0</v>
      </c>
    </row>
    <row r="863" spans="1:5">
      <c r="A863" s="1">
        <f>IF(C863="","",COUNTA(C$4:C863))</f>
        <v>853</v>
      </c>
      <c r="B863" s="1" t="s">
        <v>1659</v>
      </c>
      <c r="C863" s="1" t="s">
        <v>1660</v>
      </c>
      <c r="E863">
        <f t="shared" si="13"/>
        <v>0</v>
      </c>
    </row>
    <row r="864" spans="1:5">
      <c r="A864" s="1">
        <f>IF(C864="","",COUNTA(C$4:C864))</f>
        <v>854</v>
      </c>
      <c r="B864" s="1" t="s">
        <v>1661</v>
      </c>
      <c r="C864" s="1" t="s">
        <v>1662</v>
      </c>
      <c r="E864">
        <f t="shared" si="13"/>
        <v>0</v>
      </c>
    </row>
    <row r="865" spans="1:5">
      <c r="A865" s="1">
        <f>IF(C865="","",COUNTA(C$4:C865))</f>
        <v>855</v>
      </c>
      <c r="B865" s="1" t="s">
        <v>1663</v>
      </c>
      <c r="C865" s="1" t="s">
        <v>1664</v>
      </c>
      <c r="E865">
        <f t="shared" si="13"/>
        <v>0</v>
      </c>
    </row>
    <row r="866" spans="1:5">
      <c r="A866" s="1">
        <f>IF(C866="","",COUNTA(C$4:C866))</f>
        <v>856</v>
      </c>
      <c r="B866" s="1" t="s">
        <v>1665</v>
      </c>
      <c r="C866" s="1" t="s">
        <v>1666</v>
      </c>
      <c r="E866">
        <f t="shared" si="13"/>
        <v>0</v>
      </c>
    </row>
    <row r="867" spans="1:5">
      <c r="A867" s="1">
        <f>IF(C867="","",COUNTA(C$4:C867))</f>
        <v>857</v>
      </c>
      <c r="B867" s="1" t="s">
        <v>1667</v>
      </c>
      <c r="C867" s="1" t="s">
        <v>1668</v>
      </c>
      <c r="E867">
        <f t="shared" si="13"/>
        <v>0</v>
      </c>
    </row>
    <row r="868" spans="1:5">
      <c r="A868" s="1">
        <f>IF(C868="","",COUNTA(C$4:C868))</f>
        <v>858</v>
      </c>
      <c r="B868" s="1" t="s">
        <v>1669</v>
      </c>
      <c r="C868" s="1" t="s">
        <v>1670</v>
      </c>
      <c r="E868">
        <f t="shared" si="13"/>
        <v>0</v>
      </c>
    </row>
    <row r="869" spans="1:5">
      <c r="A869" s="1">
        <f>IF(C869="","",COUNTA(C$4:C869))</f>
        <v>859</v>
      </c>
      <c r="B869" s="1" t="s">
        <v>1671</v>
      </c>
      <c r="C869" s="1" t="s">
        <v>1672</v>
      </c>
      <c r="E869">
        <f t="shared" si="13"/>
        <v>0</v>
      </c>
    </row>
    <row r="870" spans="1:5">
      <c r="A870" s="1">
        <f>IF(C870="","",COUNTA(C$4:C870))</f>
        <v>860</v>
      </c>
      <c r="B870" s="1" t="s">
        <v>1673</v>
      </c>
      <c r="C870" s="1" t="s">
        <v>1674</v>
      </c>
      <c r="E870">
        <f t="shared" si="13"/>
        <v>0</v>
      </c>
    </row>
    <row r="871" spans="1:5">
      <c r="A871" s="1">
        <f>IF(C871="","",COUNTA(C$4:C871))</f>
        <v>861</v>
      </c>
      <c r="B871" s="1" t="s">
        <v>1675</v>
      </c>
      <c r="C871" s="1" t="s">
        <v>1676</v>
      </c>
      <c r="E871">
        <f t="shared" si="13"/>
        <v>0</v>
      </c>
    </row>
    <row r="872" spans="1:5">
      <c r="A872" s="1">
        <f>IF(C872="","",COUNTA(C$4:C872))</f>
        <v>862</v>
      </c>
      <c r="B872" s="1" t="s">
        <v>1675</v>
      </c>
      <c r="C872" s="1" t="s">
        <v>1677</v>
      </c>
      <c r="E872">
        <f t="shared" si="13"/>
        <v>0</v>
      </c>
    </row>
    <row r="873" spans="1:5">
      <c r="A873" s="1">
        <f>IF(C873="","",COUNTA(C$4:C873))</f>
        <v>863</v>
      </c>
      <c r="B873" s="1" t="s">
        <v>1678</v>
      </c>
      <c r="C873" s="1" t="s">
        <v>1679</v>
      </c>
      <c r="E873">
        <f t="shared" si="13"/>
        <v>0</v>
      </c>
    </row>
    <row r="874" spans="1:5">
      <c r="A874" s="1">
        <f>IF(C874="","",COUNTA(C$4:C874))</f>
        <v>864</v>
      </c>
      <c r="B874" s="1" t="s">
        <v>1680</v>
      </c>
      <c r="C874" s="1" t="s">
        <v>1681</v>
      </c>
      <c r="E874">
        <f t="shared" si="13"/>
        <v>0</v>
      </c>
    </row>
    <row r="875" spans="1:5">
      <c r="A875" s="1">
        <f>IF(C875="","",COUNTA(C$4:C875))</f>
        <v>865</v>
      </c>
      <c r="B875" s="1" t="s">
        <v>1682</v>
      </c>
      <c r="C875" s="1" t="s">
        <v>1683</v>
      </c>
      <c r="E875">
        <f t="shared" si="13"/>
        <v>0</v>
      </c>
    </row>
    <row r="876" spans="1:5">
      <c r="A876" s="1">
        <f>IF(C876="","",COUNTA(C$4:C876))</f>
        <v>866</v>
      </c>
      <c r="B876" s="1" t="s">
        <v>1684</v>
      </c>
      <c r="C876" s="1" t="s">
        <v>1685</v>
      </c>
      <c r="E876">
        <f t="shared" si="13"/>
        <v>0</v>
      </c>
    </row>
    <row r="877" spans="1:5">
      <c r="A877" s="1">
        <f>IF(C877="","",COUNTA(C$4:C877))</f>
        <v>867</v>
      </c>
      <c r="B877" s="1" t="s">
        <v>1686</v>
      </c>
      <c r="C877" s="1" t="s">
        <v>1687</v>
      </c>
      <c r="E877">
        <f t="shared" si="13"/>
        <v>0</v>
      </c>
    </row>
    <row r="878" spans="1:5">
      <c r="A878" s="1">
        <f>IF(C878="","",COUNTA(C$4:C878))</f>
        <v>868</v>
      </c>
      <c r="B878" s="1" t="s">
        <v>1688</v>
      </c>
      <c r="C878" s="1" t="s">
        <v>1689</v>
      </c>
      <c r="E878">
        <f t="shared" si="13"/>
        <v>0</v>
      </c>
    </row>
    <row r="879" spans="1:5">
      <c r="A879" s="1">
        <f>IF(C879="","",COUNTA(C$4:C879))</f>
        <v>869</v>
      </c>
      <c r="B879" s="1" t="s">
        <v>1690</v>
      </c>
      <c r="C879" s="1" t="s">
        <v>1691</v>
      </c>
      <c r="E879">
        <f t="shared" si="13"/>
        <v>0</v>
      </c>
    </row>
    <row r="880" spans="1:5">
      <c r="A880" s="1">
        <f>IF(C880="","",COUNTA(C$4:C880))</f>
        <v>870</v>
      </c>
      <c r="B880" s="1" t="s">
        <v>1692</v>
      </c>
      <c r="C880" s="1" t="s">
        <v>1693</v>
      </c>
      <c r="E880">
        <f t="shared" si="13"/>
        <v>0</v>
      </c>
    </row>
    <row r="881" spans="1:5">
      <c r="A881" s="1">
        <f>IF(C881="","",COUNTA(C$4:C881))</f>
        <v>871</v>
      </c>
      <c r="B881" s="1" t="s">
        <v>1147</v>
      </c>
      <c r="C881" s="1" t="s">
        <v>1694</v>
      </c>
      <c r="E881">
        <f t="shared" si="13"/>
        <v>0</v>
      </c>
    </row>
    <row r="882" spans="1:5">
      <c r="A882" s="1">
        <f>IF(C882="","",COUNTA(C$4:C882))</f>
        <v>872</v>
      </c>
      <c r="B882" s="1" t="s">
        <v>1695</v>
      </c>
      <c r="C882" s="1" t="s">
        <v>1696</v>
      </c>
      <c r="E882">
        <f t="shared" si="13"/>
        <v>0</v>
      </c>
    </row>
    <row r="883" spans="1:5">
      <c r="A883" s="1">
        <f>IF(C883="","",COUNTA(C$4:C883))</f>
        <v>873</v>
      </c>
      <c r="B883" s="1" t="s">
        <v>261</v>
      </c>
      <c r="C883" s="1" t="s">
        <v>1697</v>
      </c>
      <c r="E883">
        <f t="shared" si="13"/>
        <v>0</v>
      </c>
    </row>
    <row r="884" spans="1:5">
      <c r="A884" s="1">
        <f>IF(C884="","",COUNTA(C$4:C884))</f>
        <v>874</v>
      </c>
      <c r="B884" s="1" t="s">
        <v>1698</v>
      </c>
      <c r="C884" s="1" t="s">
        <v>1699</v>
      </c>
      <c r="E884">
        <f t="shared" si="13"/>
        <v>0</v>
      </c>
    </row>
    <row r="885" spans="1:5">
      <c r="A885" s="1">
        <f>IF(C885="","",COUNTA(C$4:C885))</f>
        <v>875</v>
      </c>
      <c r="B885" s="1" t="s">
        <v>1700</v>
      </c>
      <c r="C885" s="1" t="s">
        <v>1701</v>
      </c>
      <c r="E885">
        <f t="shared" si="13"/>
        <v>0</v>
      </c>
    </row>
    <row r="886" spans="1:5">
      <c r="A886" s="1">
        <f>IF(C886="","",COUNTA(C$4:C886))</f>
        <v>876</v>
      </c>
      <c r="B886" s="1" t="s">
        <v>1702</v>
      </c>
      <c r="C886" s="1" t="s">
        <v>1703</v>
      </c>
      <c r="E886">
        <f t="shared" si="13"/>
        <v>0</v>
      </c>
    </row>
    <row r="887" spans="1:5">
      <c r="A887" s="1">
        <f>IF(C887="","",COUNTA(C$4:C887))</f>
        <v>877</v>
      </c>
      <c r="B887" s="1" t="s">
        <v>1704</v>
      </c>
      <c r="C887" s="1" t="s">
        <v>1705</v>
      </c>
      <c r="E887">
        <f t="shared" si="13"/>
        <v>0</v>
      </c>
    </row>
    <row r="888" spans="1:5">
      <c r="A888" s="1">
        <f>IF(C888="","",COUNTA(C$4:C888))</f>
        <v>878</v>
      </c>
      <c r="B888" s="1" t="s">
        <v>1706</v>
      </c>
      <c r="C888" s="1" t="s">
        <v>1707</v>
      </c>
      <c r="E888">
        <f t="shared" si="13"/>
        <v>0</v>
      </c>
    </row>
    <row r="889" spans="1:5">
      <c r="A889" s="1">
        <f>IF(C889="","",COUNTA(C$4:C889))</f>
        <v>879</v>
      </c>
      <c r="B889" s="1" t="s">
        <v>1708</v>
      </c>
      <c r="C889" s="1" t="s">
        <v>1709</v>
      </c>
      <c r="E889">
        <f t="shared" si="13"/>
        <v>0</v>
      </c>
    </row>
    <row r="890" spans="1:5">
      <c r="A890" s="1">
        <f>IF(C890="","",COUNTA(C$4:C890))</f>
        <v>880</v>
      </c>
      <c r="B890" s="1" t="s">
        <v>1708</v>
      </c>
      <c r="C890" s="1" t="s">
        <v>1710</v>
      </c>
      <c r="E890">
        <f t="shared" si="13"/>
        <v>0</v>
      </c>
    </row>
    <row r="891" spans="1:5">
      <c r="A891" s="1">
        <f>IF(C891="","",COUNTA(C$4:C891))</f>
        <v>881</v>
      </c>
      <c r="B891" s="1" t="s">
        <v>321</v>
      </c>
      <c r="C891" s="1" t="s">
        <v>1711</v>
      </c>
      <c r="E891">
        <f t="shared" si="13"/>
        <v>0</v>
      </c>
    </row>
    <row r="892" spans="1:5">
      <c r="A892" s="1">
        <f>IF(C892="","",COUNTA(C$4:C892))</f>
        <v>882</v>
      </c>
      <c r="B892" s="1" t="s">
        <v>321</v>
      </c>
      <c r="C892" s="1" t="s">
        <v>1712</v>
      </c>
      <c r="E892">
        <f t="shared" si="13"/>
        <v>0</v>
      </c>
    </row>
    <row r="893" spans="1:5">
      <c r="A893" s="1">
        <f>IF(C893="","",COUNTA(C$4:C893))</f>
        <v>883</v>
      </c>
      <c r="B893" s="1" t="s">
        <v>1713</v>
      </c>
      <c r="C893" s="1" t="s">
        <v>1714</v>
      </c>
      <c r="E893">
        <f t="shared" si="13"/>
        <v>0</v>
      </c>
    </row>
    <row r="894" spans="1:5">
      <c r="A894" s="1">
        <f>IF(C894="","",COUNTA(C$4:C894))</f>
        <v>884</v>
      </c>
      <c r="B894" s="1" t="s">
        <v>1715</v>
      </c>
      <c r="C894" s="1" t="s">
        <v>1716</v>
      </c>
      <c r="E894">
        <f t="shared" si="13"/>
        <v>0</v>
      </c>
    </row>
    <row r="895" spans="1:5">
      <c r="A895" s="1">
        <f>IF(C895="","",COUNTA(C$4:C895))</f>
        <v>885</v>
      </c>
      <c r="B895" s="1" t="s">
        <v>1717</v>
      </c>
      <c r="C895" s="1" t="s">
        <v>1718</v>
      </c>
      <c r="E895">
        <f t="shared" si="13"/>
        <v>0</v>
      </c>
    </row>
    <row r="896" spans="1:5">
      <c r="A896" s="1">
        <f>IF(C896="","",COUNTA(C$4:C896))</f>
        <v>886</v>
      </c>
      <c r="B896" s="1" t="s">
        <v>1719</v>
      </c>
      <c r="C896" s="1" t="s">
        <v>1720</v>
      </c>
      <c r="E896">
        <f t="shared" si="13"/>
        <v>0</v>
      </c>
    </row>
    <row r="897" spans="1:5">
      <c r="A897" s="1">
        <f>IF(C897="","",COUNTA(C$4:C897))</f>
        <v>887</v>
      </c>
      <c r="B897" s="1" t="s">
        <v>1721</v>
      </c>
      <c r="C897" s="1" t="s">
        <v>1722</v>
      </c>
      <c r="E897">
        <f t="shared" si="13"/>
        <v>0</v>
      </c>
    </row>
    <row r="898" spans="1:5">
      <c r="A898" s="1">
        <f>IF(C898="","",COUNTA(C$4:C898))</f>
        <v>888</v>
      </c>
      <c r="B898" s="1" t="s">
        <v>1723</v>
      </c>
      <c r="C898" s="1" t="s">
        <v>1724</v>
      </c>
      <c r="E898">
        <f t="shared" si="13"/>
        <v>0</v>
      </c>
    </row>
    <row r="899" spans="1:5">
      <c r="A899" s="1">
        <f>IF(C899="","",COUNTA(C$4:C899))</f>
        <v>889</v>
      </c>
      <c r="B899" s="1" t="s">
        <v>1725</v>
      </c>
      <c r="C899" s="1" t="s">
        <v>1726</v>
      </c>
      <c r="E899">
        <f t="shared" si="13"/>
        <v>0</v>
      </c>
    </row>
    <row r="900" spans="1:5">
      <c r="A900" s="1">
        <f>IF(C900="","",COUNTA(C$4:C900))</f>
        <v>890</v>
      </c>
      <c r="B900" s="1" t="s">
        <v>839</v>
      </c>
      <c r="C900" s="1" t="s">
        <v>1727</v>
      </c>
      <c r="E900">
        <f t="shared" si="13"/>
        <v>0</v>
      </c>
    </row>
    <row r="901" spans="1:5">
      <c r="A901" s="1">
        <f>IF(C901="","",COUNTA(C$4:C901))</f>
        <v>891</v>
      </c>
      <c r="B901" s="1" t="s">
        <v>1728</v>
      </c>
      <c r="C901" s="1" t="s">
        <v>1729</v>
      </c>
      <c r="E901">
        <f t="shared" ref="E901:E964" si="14">IF(C901=D901,1,0)</f>
        <v>0</v>
      </c>
    </row>
    <row r="902" spans="1:5">
      <c r="A902" s="1">
        <f>IF(C902="","",COUNTA(C$4:C902))</f>
        <v>892</v>
      </c>
      <c r="B902" s="1" t="s">
        <v>1730</v>
      </c>
      <c r="C902" s="1" t="s">
        <v>1731</v>
      </c>
      <c r="E902">
        <f t="shared" si="14"/>
        <v>0</v>
      </c>
    </row>
    <row r="903" spans="1:5">
      <c r="A903" s="1">
        <f>IF(C903="","",COUNTA(C$4:C903))</f>
        <v>893</v>
      </c>
      <c r="B903" s="1" t="s">
        <v>156</v>
      </c>
      <c r="C903" s="1" t="s">
        <v>1732</v>
      </c>
      <c r="E903">
        <f t="shared" si="14"/>
        <v>0</v>
      </c>
    </row>
    <row r="904" spans="1:5">
      <c r="A904" s="1">
        <f>IF(C904="","",COUNTA(C$4:C904))</f>
        <v>894</v>
      </c>
      <c r="B904" s="1" t="s">
        <v>1733</v>
      </c>
      <c r="C904" s="1" t="s">
        <v>1734</v>
      </c>
      <c r="E904">
        <f t="shared" si="14"/>
        <v>0</v>
      </c>
    </row>
    <row r="905" spans="1:5">
      <c r="A905" s="1">
        <f>IF(C905="","",COUNTA(C$4:C905))</f>
        <v>895</v>
      </c>
      <c r="B905" s="1" t="s">
        <v>1735</v>
      </c>
      <c r="C905" s="1" t="s">
        <v>1736</v>
      </c>
      <c r="E905">
        <f t="shared" si="14"/>
        <v>0</v>
      </c>
    </row>
    <row r="906" spans="1:5">
      <c r="A906" s="1">
        <f>IF(C906="","",COUNTA(C$4:C906))</f>
        <v>896</v>
      </c>
      <c r="B906" s="1" t="s">
        <v>1737</v>
      </c>
      <c r="C906" s="1" t="s">
        <v>1738</v>
      </c>
      <c r="E906">
        <f t="shared" si="14"/>
        <v>0</v>
      </c>
    </row>
    <row r="907" spans="1:5">
      <c r="A907" s="1">
        <f>IF(C907="","",COUNTA(C$4:C907))</f>
        <v>897</v>
      </c>
      <c r="B907" s="1" t="s">
        <v>192</v>
      </c>
      <c r="C907" s="1" t="s">
        <v>1739</v>
      </c>
      <c r="E907">
        <f t="shared" si="14"/>
        <v>0</v>
      </c>
    </row>
    <row r="908" spans="1:5">
      <c r="A908" s="1">
        <f>IF(C908="","",COUNTA(C$4:C908))</f>
        <v>898</v>
      </c>
      <c r="B908" s="1" t="s">
        <v>1740</v>
      </c>
      <c r="C908" s="1" t="s">
        <v>1741</v>
      </c>
      <c r="E908">
        <f t="shared" si="14"/>
        <v>0</v>
      </c>
    </row>
    <row r="909" spans="1:5">
      <c r="A909" s="1">
        <f>IF(C909="","",COUNTA(C$4:C909))</f>
        <v>899</v>
      </c>
      <c r="B909" s="1" t="s">
        <v>1742</v>
      </c>
      <c r="C909" s="1" t="s">
        <v>1743</v>
      </c>
      <c r="E909">
        <f t="shared" si="14"/>
        <v>0</v>
      </c>
    </row>
    <row r="910" spans="1:5">
      <c r="A910" s="1">
        <f>IF(C910="","",COUNTA(C$4:C910))</f>
        <v>900</v>
      </c>
      <c r="B910" s="1" t="s">
        <v>1744</v>
      </c>
      <c r="C910" s="1" t="s">
        <v>1745</v>
      </c>
      <c r="E910">
        <f t="shared" si="14"/>
        <v>0</v>
      </c>
    </row>
    <row r="911" spans="1:5">
      <c r="A911" s="1">
        <f>IF(C911="","",COUNTA(C$4:C911))</f>
        <v>901</v>
      </c>
      <c r="B911" s="1" t="s">
        <v>1746</v>
      </c>
      <c r="C911" s="1" t="s">
        <v>1747</v>
      </c>
      <c r="E911">
        <f t="shared" si="14"/>
        <v>0</v>
      </c>
    </row>
    <row r="912" spans="1:5">
      <c r="A912" s="1">
        <f>IF(C912="","",COUNTA(C$4:C912))</f>
        <v>902</v>
      </c>
      <c r="B912" s="1" t="s">
        <v>1748</v>
      </c>
      <c r="C912" s="1" t="s">
        <v>1749</v>
      </c>
      <c r="E912">
        <f t="shared" si="14"/>
        <v>0</v>
      </c>
    </row>
    <row r="913" spans="1:5">
      <c r="A913" s="1">
        <f>IF(C913="","",COUNTA(C$4:C913))</f>
        <v>903</v>
      </c>
      <c r="B913" s="1" t="s">
        <v>1750</v>
      </c>
      <c r="C913" s="1" t="s">
        <v>1751</v>
      </c>
      <c r="E913">
        <f t="shared" si="14"/>
        <v>0</v>
      </c>
    </row>
    <row r="914" spans="1:5">
      <c r="A914" s="1">
        <f>IF(C914="","",COUNTA(C$4:C914))</f>
        <v>904</v>
      </c>
      <c r="B914" s="1" t="s">
        <v>1752</v>
      </c>
      <c r="C914" s="1" t="s">
        <v>1753</v>
      </c>
      <c r="E914">
        <f t="shared" si="14"/>
        <v>0</v>
      </c>
    </row>
    <row r="915" spans="1:5">
      <c r="A915" s="1">
        <f>IF(C915="","",COUNTA(C$4:C915))</f>
        <v>905</v>
      </c>
      <c r="B915" s="1" t="s">
        <v>1754</v>
      </c>
      <c r="C915" s="1" t="s">
        <v>1755</v>
      </c>
      <c r="E915">
        <f t="shared" si="14"/>
        <v>0</v>
      </c>
    </row>
    <row r="916" spans="1:5">
      <c r="A916" s="1">
        <f>IF(C916="","",COUNTA(C$4:C916))</f>
        <v>906</v>
      </c>
      <c r="B916" s="1" t="s">
        <v>1756</v>
      </c>
      <c r="C916" s="1" t="s">
        <v>1757</v>
      </c>
      <c r="E916">
        <f t="shared" si="14"/>
        <v>0</v>
      </c>
    </row>
    <row r="917" spans="1:5">
      <c r="A917" s="1">
        <f>IF(C917="","",COUNTA(C$4:C917))</f>
        <v>907</v>
      </c>
      <c r="B917" s="1" t="s">
        <v>1758</v>
      </c>
      <c r="C917" s="1" t="s">
        <v>1759</v>
      </c>
      <c r="E917">
        <f t="shared" si="14"/>
        <v>0</v>
      </c>
    </row>
    <row r="918" spans="1:5">
      <c r="A918" s="1">
        <f>IF(C918="","",COUNTA(C$4:C918))</f>
        <v>908</v>
      </c>
      <c r="B918" s="1" t="s">
        <v>1760</v>
      </c>
      <c r="C918" s="1" t="s">
        <v>1761</v>
      </c>
      <c r="E918">
        <f t="shared" si="14"/>
        <v>0</v>
      </c>
    </row>
    <row r="919" spans="1:5">
      <c r="A919" s="1">
        <f>IF(C919="","",COUNTA(C$4:C919))</f>
        <v>909</v>
      </c>
      <c r="B919" s="1" t="s">
        <v>1762</v>
      </c>
      <c r="C919" s="1" t="s">
        <v>1763</v>
      </c>
      <c r="E919">
        <f t="shared" si="14"/>
        <v>0</v>
      </c>
    </row>
    <row r="920" spans="1:5">
      <c r="A920" s="1">
        <f>IF(C920="","",COUNTA(C$4:C920))</f>
        <v>910</v>
      </c>
      <c r="B920" s="1" t="s">
        <v>1764</v>
      </c>
      <c r="C920" s="1" t="s">
        <v>1765</v>
      </c>
      <c r="E920">
        <f t="shared" si="14"/>
        <v>0</v>
      </c>
    </row>
    <row r="921" spans="1:5">
      <c r="A921" s="1">
        <f>IF(C921="","",COUNTA(C$4:C921))</f>
        <v>911</v>
      </c>
      <c r="B921" s="1" t="s">
        <v>1766</v>
      </c>
      <c r="C921" s="1" t="s">
        <v>1767</v>
      </c>
      <c r="E921">
        <f t="shared" si="14"/>
        <v>0</v>
      </c>
    </row>
    <row r="922" spans="1:5">
      <c r="A922" s="1">
        <f>IF(C922="","",COUNTA(C$4:C922))</f>
        <v>912</v>
      </c>
      <c r="B922" s="1" t="s">
        <v>1768</v>
      </c>
      <c r="C922" s="1" t="s">
        <v>1769</v>
      </c>
      <c r="E922">
        <f t="shared" si="14"/>
        <v>0</v>
      </c>
    </row>
    <row r="923" spans="1:5">
      <c r="A923" s="1">
        <f>IF(C923="","",COUNTA(C$4:C923))</f>
        <v>913</v>
      </c>
      <c r="B923" s="1" t="s">
        <v>1770</v>
      </c>
      <c r="C923" s="1" t="s">
        <v>1771</v>
      </c>
      <c r="E923">
        <f t="shared" si="14"/>
        <v>0</v>
      </c>
    </row>
    <row r="924" spans="1:5">
      <c r="A924" s="1">
        <f>IF(C924="","",COUNTA(C$4:C924))</f>
        <v>914</v>
      </c>
      <c r="B924" s="1" t="s">
        <v>1772</v>
      </c>
      <c r="C924" s="1" t="s">
        <v>1773</v>
      </c>
      <c r="E924">
        <f t="shared" si="14"/>
        <v>0</v>
      </c>
    </row>
    <row r="925" spans="1:5">
      <c r="A925" s="1">
        <f>IF(C925="","",COUNTA(C$4:C925))</f>
        <v>915</v>
      </c>
      <c r="B925" s="1" t="s">
        <v>1774</v>
      </c>
      <c r="C925" s="1" t="s">
        <v>1775</v>
      </c>
      <c r="E925">
        <f t="shared" si="14"/>
        <v>0</v>
      </c>
    </row>
    <row r="926" spans="1:5">
      <c r="A926" s="1">
        <f>IF(C926="","",COUNTA(C$4:C926))</f>
        <v>916</v>
      </c>
      <c r="B926" s="1" t="s">
        <v>1776</v>
      </c>
      <c r="C926" s="1" t="s">
        <v>1777</v>
      </c>
      <c r="E926">
        <f t="shared" si="14"/>
        <v>0</v>
      </c>
    </row>
    <row r="927" spans="1:5">
      <c r="A927" s="1">
        <f>IF(C927="","",COUNTA(C$4:C927))</f>
        <v>917</v>
      </c>
      <c r="B927" s="1" t="s">
        <v>1778</v>
      </c>
      <c r="C927" s="1" t="s">
        <v>1779</v>
      </c>
      <c r="E927">
        <f t="shared" si="14"/>
        <v>0</v>
      </c>
    </row>
    <row r="928" spans="1:5">
      <c r="A928" s="1">
        <f>IF(C928="","",COUNTA(C$4:C928))</f>
        <v>918</v>
      </c>
      <c r="B928" s="1" t="s">
        <v>1780</v>
      </c>
      <c r="C928" s="1" t="s">
        <v>1781</v>
      </c>
      <c r="E928">
        <f t="shared" si="14"/>
        <v>0</v>
      </c>
    </row>
    <row r="929" spans="1:5">
      <c r="A929" s="1">
        <f>IF(C929="","",COUNTA(C$4:C929))</f>
        <v>919</v>
      </c>
      <c r="B929" s="1" t="s">
        <v>1782</v>
      </c>
      <c r="C929" s="1" t="s">
        <v>1783</v>
      </c>
      <c r="E929">
        <f t="shared" si="14"/>
        <v>0</v>
      </c>
    </row>
    <row r="930" spans="1:5">
      <c r="A930" s="1">
        <f>IF(C930="","",COUNTA(C$4:C930))</f>
        <v>920</v>
      </c>
      <c r="B930" s="1" t="s">
        <v>1784</v>
      </c>
      <c r="C930" s="1" t="s">
        <v>1785</v>
      </c>
      <c r="E930">
        <f t="shared" si="14"/>
        <v>0</v>
      </c>
    </row>
    <row r="931" spans="1:5">
      <c r="A931" s="1">
        <f>IF(C931="","",COUNTA(C$4:C931))</f>
        <v>921</v>
      </c>
      <c r="B931" s="1" t="s">
        <v>1786</v>
      </c>
      <c r="C931" s="1" t="s">
        <v>1787</v>
      </c>
      <c r="E931">
        <f t="shared" si="14"/>
        <v>0</v>
      </c>
    </row>
    <row r="932" spans="1:5">
      <c r="A932" s="1">
        <f>IF(C932="","",COUNTA(C$4:C932))</f>
        <v>922</v>
      </c>
      <c r="B932" s="1" t="s">
        <v>1788</v>
      </c>
      <c r="C932" s="1" t="s">
        <v>1789</v>
      </c>
      <c r="E932">
        <f t="shared" si="14"/>
        <v>0</v>
      </c>
    </row>
    <row r="933" spans="1:5">
      <c r="A933" s="1">
        <f>IF(C933="","",COUNTA(C$4:C933))</f>
        <v>923</v>
      </c>
      <c r="B933" s="1" t="s">
        <v>1790</v>
      </c>
      <c r="C933" s="1" t="s">
        <v>1791</v>
      </c>
      <c r="E933">
        <f t="shared" si="14"/>
        <v>0</v>
      </c>
    </row>
    <row r="934" spans="1:5">
      <c r="A934" s="1">
        <f>IF(C934="","",COUNTA(C$4:C934))</f>
        <v>924</v>
      </c>
      <c r="B934" s="1" t="s">
        <v>1792</v>
      </c>
      <c r="C934" s="1" t="s">
        <v>1793</v>
      </c>
      <c r="E934">
        <f t="shared" si="14"/>
        <v>0</v>
      </c>
    </row>
    <row r="935" spans="1:5">
      <c r="A935" s="1">
        <f>IF(C935="","",COUNTA(C$4:C935))</f>
        <v>925</v>
      </c>
      <c r="B935" s="1" t="s">
        <v>1794</v>
      </c>
      <c r="C935" s="1" t="s">
        <v>1795</v>
      </c>
      <c r="E935">
        <f t="shared" si="14"/>
        <v>0</v>
      </c>
    </row>
    <row r="936" spans="1:5">
      <c r="A936" s="1">
        <f>IF(C936="","",COUNTA(C$4:C936))</f>
        <v>926</v>
      </c>
      <c r="B936" s="1" t="s">
        <v>1796</v>
      </c>
      <c r="C936" s="1" t="s">
        <v>1797</v>
      </c>
      <c r="E936">
        <f t="shared" si="14"/>
        <v>0</v>
      </c>
    </row>
    <row r="937" spans="1:5">
      <c r="A937" s="1">
        <f>IF(C937="","",COUNTA(C$4:C937))</f>
        <v>927</v>
      </c>
      <c r="B937" s="1" t="s">
        <v>1798</v>
      </c>
      <c r="C937" s="1" t="s">
        <v>1799</v>
      </c>
      <c r="E937">
        <f t="shared" si="14"/>
        <v>0</v>
      </c>
    </row>
    <row r="938" spans="1:5">
      <c r="A938" s="1">
        <f>IF(C938="","",COUNTA(C$4:C938))</f>
        <v>928</v>
      </c>
      <c r="B938" s="1" t="s">
        <v>1800</v>
      </c>
      <c r="C938" s="1" t="s">
        <v>1801</v>
      </c>
      <c r="E938">
        <f t="shared" si="14"/>
        <v>0</v>
      </c>
    </row>
    <row r="939" spans="1:5">
      <c r="A939" s="1">
        <f>IF(C939="","",COUNTA(C$4:C939))</f>
        <v>929</v>
      </c>
      <c r="B939" s="1" t="s">
        <v>1802</v>
      </c>
      <c r="C939" s="1" t="s">
        <v>1803</v>
      </c>
      <c r="E939">
        <f t="shared" si="14"/>
        <v>0</v>
      </c>
    </row>
    <row r="940" spans="1:5">
      <c r="A940" s="1">
        <f>IF(C940="","",COUNTA(C$4:C940))</f>
        <v>930</v>
      </c>
      <c r="B940" s="1" t="s">
        <v>1804</v>
      </c>
      <c r="C940" s="1" t="s">
        <v>1805</v>
      </c>
      <c r="E940">
        <f t="shared" si="14"/>
        <v>0</v>
      </c>
    </row>
    <row r="941" spans="1:5">
      <c r="A941" s="1">
        <f>IF(C941="","",COUNTA(C$4:C941))</f>
        <v>931</v>
      </c>
      <c r="B941" s="1" t="s">
        <v>1806</v>
      </c>
      <c r="C941" s="1" t="s">
        <v>1807</v>
      </c>
      <c r="E941">
        <f t="shared" si="14"/>
        <v>0</v>
      </c>
    </row>
    <row r="942" spans="1:5">
      <c r="A942" s="1">
        <f>IF(C942="","",COUNTA(C$4:C942))</f>
        <v>932</v>
      </c>
      <c r="B942" s="1" t="s">
        <v>1808</v>
      </c>
      <c r="C942" s="1" t="s">
        <v>1809</v>
      </c>
      <c r="E942">
        <f t="shared" si="14"/>
        <v>0</v>
      </c>
    </row>
    <row r="943" spans="1:5">
      <c r="A943" s="1">
        <f>IF(C943="","",COUNTA(C$4:C943))</f>
        <v>933</v>
      </c>
      <c r="B943" s="1" t="s">
        <v>1810</v>
      </c>
      <c r="C943" s="1" t="s">
        <v>1811</v>
      </c>
      <c r="E943">
        <f t="shared" si="14"/>
        <v>0</v>
      </c>
    </row>
    <row r="944" spans="1:5">
      <c r="A944" s="1">
        <f>IF(C944="","",COUNTA(C$4:C944))</f>
        <v>934</v>
      </c>
      <c r="B944" s="1" t="s">
        <v>1812</v>
      </c>
      <c r="C944" s="1" t="s">
        <v>1813</v>
      </c>
      <c r="E944">
        <f t="shared" si="14"/>
        <v>0</v>
      </c>
    </row>
    <row r="945" spans="1:5">
      <c r="A945" s="1">
        <f>IF(C945="","",COUNTA(C$4:C945))</f>
        <v>935</v>
      </c>
      <c r="B945" s="1" t="s">
        <v>1814</v>
      </c>
      <c r="C945" s="1" t="s">
        <v>1815</v>
      </c>
      <c r="E945">
        <f t="shared" si="14"/>
        <v>0</v>
      </c>
    </row>
    <row r="946" spans="1:5">
      <c r="A946" s="1">
        <f>IF(C946="","",COUNTA(C$4:C946))</f>
        <v>936</v>
      </c>
      <c r="B946" s="1" t="s">
        <v>1816</v>
      </c>
      <c r="C946" s="1" t="s">
        <v>1817</v>
      </c>
      <c r="E946">
        <f t="shared" si="14"/>
        <v>0</v>
      </c>
    </row>
    <row r="947" spans="1:5">
      <c r="A947" s="1">
        <f>IF(C947="","",COUNTA(C$4:C947))</f>
        <v>937</v>
      </c>
      <c r="B947" s="1" t="s">
        <v>707</v>
      </c>
      <c r="C947" s="1" t="s">
        <v>1818</v>
      </c>
      <c r="E947">
        <f t="shared" si="14"/>
        <v>0</v>
      </c>
    </row>
    <row r="948" spans="1:5">
      <c r="A948" s="1">
        <f>IF(C948="","",COUNTA(C$4:C948))</f>
        <v>938</v>
      </c>
      <c r="B948" s="1" t="s">
        <v>1819</v>
      </c>
      <c r="C948" s="1" t="s">
        <v>1820</v>
      </c>
      <c r="E948">
        <f t="shared" si="14"/>
        <v>0</v>
      </c>
    </row>
    <row r="949" spans="1:5">
      <c r="A949" s="1">
        <f>IF(C949="","",COUNTA(C$4:C949))</f>
        <v>939</v>
      </c>
      <c r="B949" s="1" t="s">
        <v>1821</v>
      </c>
      <c r="C949" s="1" t="s">
        <v>1822</v>
      </c>
      <c r="E949">
        <f t="shared" si="14"/>
        <v>0</v>
      </c>
    </row>
    <row r="950" spans="1:5">
      <c r="A950" s="1">
        <f>IF(C950="","",COUNTA(C$4:C950))</f>
        <v>940</v>
      </c>
      <c r="B950" s="1" t="s">
        <v>1823</v>
      </c>
      <c r="C950" s="1" t="s">
        <v>1824</v>
      </c>
      <c r="E950">
        <f t="shared" si="14"/>
        <v>0</v>
      </c>
    </row>
    <row r="951" spans="1:5">
      <c r="A951" s="1">
        <f>IF(C951="","",COUNTA(C$4:C951))</f>
        <v>941</v>
      </c>
      <c r="B951" s="1" t="s">
        <v>1825</v>
      </c>
      <c r="C951" s="1" t="s">
        <v>1826</v>
      </c>
      <c r="E951">
        <f t="shared" si="14"/>
        <v>0</v>
      </c>
    </row>
    <row r="952" spans="1:5">
      <c r="A952" s="1">
        <f>IF(C952="","",COUNTA(C$4:C952))</f>
        <v>942</v>
      </c>
      <c r="B952" s="1" t="s">
        <v>1827</v>
      </c>
      <c r="C952" s="1" t="s">
        <v>1828</v>
      </c>
      <c r="E952">
        <f t="shared" si="14"/>
        <v>0</v>
      </c>
    </row>
    <row r="953" spans="1:5">
      <c r="A953" s="1">
        <f>IF(C953="","",COUNTA(C$4:C953))</f>
        <v>943</v>
      </c>
      <c r="B953" s="1" t="s">
        <v>1829</v>
      </c>
      <c r="C953" s="1" t="s">
        <v>1830</v>
      </c>
      <c r="E953">
        <f t="shared" si="14"/>
        <v>0</v>
      </c>
    </row>
    <row r="954" spans="1:5">
      <c r="A954" s="1">
        <f>IF(C954="","",COUNTA(C$4:C954))</f>
        <v>944</v>
      </c>
      <c r="B954" s="1" t="s">
        <v>1831</v>
      </c>
      <c r="C954" s="1" t="s">
        <v>1832</v>
      </c>
      <c r="E954">
        <f t="shared" si="14"/>
        <v>0</v>
      </c>
    </row>
    <row r="955" spans="1:5">
      <c r="A955" s="1">
        <f>IF(C955="","",COUNTA(C$4:C955))</f>
        <v>945</v>
      </c>
      <c r="B955" s="1" t="s">
        <v>1833</v>
      </c>
      <c r="C955" s="1" t="s">
        <v>1834</v>
      </c>
      <c r="E955">
        <f t="shared" si="14"/>
        <v>0</v>
      </c>
    </row>
    <row r="956" spans="1:5">
      <c r="A956" s="1">
        <f>IF(C956="","",COUNTA(C$4:C956))</f>
        <v>946</v>
      </c>
      <c r="B956" s="1" t="s">
        <v>1835</v>
      </c>
      <c r="C956" s="1" t="s">
        <v>1836</v>
      </c>
      <c r="E956">
        <f t="shared" si="14"/>
        <v>0</v>
      </c>
    </row>
    <row r="957" spans="1:5">
      <c r="A957" s="1">
        <f>IF(C957="","",COUNTA(C$4:C957))</f>
        <v>947</v>
      </c>
      <c r="B957" s="1" t="s">
        <v>1837</v>
      </c>
      <c r="C957" s="1" t="s">
        <v>1838</v>
      </c>
      <c r="E957">
        <f t="shared" si="14"/>
        <v>0</v>
      </c>
    </row>
    <row r="958" spans="1:5">
      <c r="A958" s="1">
        <f>IF(C958="","",COUNTA(C$4:C958))</f>
        <v>948</v>
      </c>
      <c r="B958" s="1" t="s">
        <v>1839</v>
      </c>
      <c r="C958" s="1" t="s">
        <v>1840</v>
      </c>
      <c r="E958">
        <f t="shared" si="14"/>
        <v>0</v>
      </c>
    </row>
    <row r="959" spans="1:5">
      <c r="A959" s="1">
        <f>IF(C959="","",COUNTA(C$4:C959))</f>
        <v>949</v>
      </c>
      <c r="B959" s="1" t="s">
        <v>1841</v>
      </c>
      <c r="C959" s="1" t="s">
        <v>1842</v>
      </c>
      <c r="E959">
        <f t="shared" si="14"/>
        <v>0</v>
      </c>
    </row>
    <row r="960" spans="1:5">
      <c r="A960" s="1">
        <f>IF(C960="","",COUNTA(C$4:C960))</f>
        <v>950</v>
      </c>
      <c r="B960" s="1" t="s">
        <v>1843</v>
      </c>
      <c r="C960" s="1" t="s">
        <v>1844</v>
      </c>
      <c r="E960">
        <f t="shared" si="14"/>
        <v>0</v>
      </c>
    </row>
    <row r="961" spans="1:5">
      <c r="A961" s="1">
        <f>IF(C961="","",COUNTA(C$4:C961))</f>
        <v>951</v>
      </c>
      <c r="B961" s="1" t="s">
        <v>1845</v>
      </c>
      <c r="C961" s="1" t="s">
        <v>1846</v>
      </c>
      <c r="E961">
        <f t="shared" si="14"/>
        <v>0</v>
      </c>
    </row>
    <row r="962" spans="1:5">
      <c r="A962" s="1">
        <f>IF(C962="","",COUNTA(C$4:C962))</f>
        <v>952</v>
      </c>
      <c r="B962" s="1" t="s">
        <v>1847</v>
      </c>
      <c r="C962" s="1" t="s">
        <v>1848</v>
      </c>
      <c r="E962">
        <f t="shared" si="14"/>
        <v>0</v>
      </c>
    </row>
    <row r="963" spans="1:5">
      <c r="A963" s="1">
        <f>IF(C963="","",COUNTA(C$4:C963))</f>
        <v>953</v>
      </c>
      <c r="B963" s="1" t="s">
        <v>1849</v>
      </c>
      <c r="C963" s="1" t="s">
        <v>1850</v>
      </c>
      <c r="E963">
        <f t="shared" si="14"/>
        <v>0</v>
      </c>
    </row>
    <row r="964" spans="1:5">
      <c r="A964" s="1">
        <f>IF(C964="","",COUNTA(C$4:C964))</f>
        <v>954</v>
      </c>
      <c r="B964" s="1" t="s">
        <v>1851</v>
      </c>
      <c r="C964" s="1" t="s">
        <v>1852</v>
      </c>
      <c r="E964">
        <f t="shared" si="14"/>
        <v>0</v>
      </c>
    </row>
    <row r="965" spans="1:5">
      <c r="A965" s="1">
        <f>IF(C965="","",COUNTA(C$4:C965))</f>
        <v>955</v>
      </c>
      <c r="B965" s="1" t="s">
        <v>1853</v>
      </c>
      <c r="C965" s="1" t="s">
        <v>1854</v>
      </c>
      <c r="E965">
        <f t="shared" ref="E965:E1028" si="15">IF(C965=D965,1,0)</f>
        <v>0</v>
      </c>
    </row>
    <row r="966" spans="1:5">
      <c r="A966" s="1">
        <f>IF(C966="","",COUNTA(C$4:C966))</f>
        <v>956</v>
      </c>
      <c r="B966" s="1" t="s">
        <v>1855</v>
      </c>
      <c r="C966" s="1" t="s">
        <v>1856</v>
      </c>
      <c r="E966">
        <f t="shared" si="15"/>
        <v>0</v>
      </c>
    </row>
    <row r="967" spans="1:5">
      <c r="A967" s="1">
        <f>IF(C967="","",COUNTA(C$4:C967))</f>
        <v>957</v>
      </c>
      <c r="B967" s="1" t="s">
        <v>1857</v>
      </c>
      <c r="C967" s="1" t="s">
        <v>1858</v>
      </c>
      <c r="E967">
        <f t="shared" si="15"/>
        <v>0</v>
      </c>
    </row>
    <row r="968" spans="1:5">
      <c r="A968" s="1">
        <f>IF(C968="","",COUNTA(C$4:C968))</f>
        <v>958</v>
      </c>
      <c r="B968" s="1" t="s">
        <v>1859</v>
      </c>
      <c r="C968" s="1" t="s">
        <v>1860</v>
      </c>
      <c r="E968">
        <f t="shared" si="15"/>
        <v>0</v>
      </c>
    </row>
    <row r="969" spans="1:5">
      <c r="A969" s="1">
        <f>IF(C969="","",COUNTA(C$4:C969))</f>
        <v>959</v>
      </c>
      <c r="B969" s="1" t="s">
        <v>1861</v>
      </c>
      <c r="C969" s="1" t="s">
        <v>1862</v>
      </c>
      <c r="E969">
        <f t="shared" si="15"/>
        <v>0</v>
      </c>
    </row>
    <row r="970" spans="1:5">
      <c r="A970" s="1">
        <f>IF(C970="","",COUNTA(C$4:C970))</f>
        <v>960</v>
      </c>
      <c r="B970" s="1" t="s">
        <v>1863</v>
      </c>
      <c r="C970" s="1" t="s">
        <v>1864</v>
      </c>
      <c r="E970">
        <f t="shared" si="15"/>
        <v>0</v>
      </c>
    </row>
    <row r="971" spans="1:5">
      <c r="A971" s="1">
        <f>IF(C971="","",COUNTA(C$4:C971))</f>
        <v>961</v>
      </c>
      <c r="B971" s="1" t="s">
        <v>1865</v>
      </c>
      <c r="C971" s="1" t="s">
        <v>1866</v>
      </c>
      <c r="E971">
        <f t="shared" si="15"/>
        <v>0</v>
      </c>
    </row>
    <row r="972" spans="1:5">
      <c r="A972" s="1">
        <f>IF(C972="","",COUNTA(C$4:C972))</f>
        <v>962</v>
      </c>
      <c r="B972" s="1" t="s">
        <v>1867</v>
      </c>
      <c r="C972" s="1" t="s">
        <v>1868</v>
      </c>
      <c r="E972">
        <f t="shared" si="15"/>
        <v>0</v>
      </c>
    </row>
    <row r="973" spans="1:5">
      <c r="A973" s="1">
        <f>IF(C973="","",COUNTA(C$4:C973))</f>
        <v>963</v>
      </c>
      <c r="B973" s="1" t="s">
        <v>1869</v>
      </c>
      <c r="C973" s="1" t="s">
        <v>1870</v>
      </c>
      <c r="E973">
        <f t="shared" si="15"/>
        <v>0</v>
      </c>
    </row>
    <row r="974" spans="1:5">
      <c r="A974" s="1">
        <f>IF(C974="","",COUNTA(C$4:C974))</f>
        <v>964</v>
      </c>
      <c r="B974" s="1" t="s">
        <v>1871</v>
      </c>
      <c r="C974" s="1" t="s">
        <v>1872</v>
      </c>
      <c r="E974">
        <f t="shared" si="15"/>
        <v>0</v>
      </c>
    </row>
    <row r="975" spans="1:5">
      <c r="A975" s="1">
        <f>IF(C975="","",COUNTA(C$4:C975))</f>
        <v>965</v>
      </c>
      <c r="B975" s="1" t="s">
        <v>1873</v>
      </c>
      <c r="C975" s="1" t="s">
        <v>1874</v>
      </c>
      <c r="E975">
        <f t="shared" si="15"/>
        <v>0</v>
      </c>
    </row>
    <row r="976" spans="1:5">
      <c r="A976" s="1">
        <f>IF(C976="","",COUNTA(C$4:C976))</f>
        <v>966</v>
      </c>
      <c r="B976" s="1" t="s">
        <v>1875</v>
      </c>
      <c r="C976" s="1" t="s">
        <v>1876</v>
      </c>
      <c r="E976">
        <f t="shared" si="15"/>
        <v>0</v>
      </c>
    </row>
    <row r="977" spans="1:5">
      <c r="A977" s="1">
        <f>IF(C977="","",COUNTA(C$4:C977))</f>
        <v>967</v>
      </c>
      <c r="B977" s="1" t="s">
        <v>1877</v>
      </c>
      <c r="C977" s="1" t="s">
        <v>1878</v>
      </c>
      <c r="E977">
        <f t="shared" si="15"/>
        <v>0</v>
      </c>
    </row>
    <row r="978" spans="1:5">
      <c r="A978" s="1">
        <f>IF(C978="","",COUNTA(C$4:C978))</f>
        <v>968</v>
      </c>
      <c r="B978" s="1" t="s">
        <v>1879</v>
      </c>
      <c r="C978" s="1" t="s">
        <v>1880</v>
      </c>
      <c r="E978">
        <f t="shared" si="15"/>
        <v>0</v>
      </c>
    </row>
    <row r="979" spans="1:5">
      <c r="A979" s="1">
        <f>IF(C979="","",COUNTA(C$4:C979))</f>
        <v>969</v>
      </c>
      <c r="B979" s="1" t="s">
        <v>1881</v>
      </c>
      <c r="C979" s="1" t="s">
        <v>1882</v>
      </c>
      <c r="E979">
        <f t="shared" si="15"/>
        <v>0</v>
      </c>
    </row>
    <row r="980" spans="1:5">
      <c r="A980" s="1">
        <f>IF(C980="","",COUNTA(C$4:C980))</f>
        <v>970</v>
      </c>
      <c r="B980" s="1" t="s">
        <v>1883</v>
      </c>
      <c r="C980" s="1" t="s">
        <v>1884</v>
      </c>
      <c r="E980">
        <f t="shared" si="15"/>
        <v>0</v>
      </c>
    </row>
    <row r="981" spans="1:5">
      <c r="A981" s="1">
        <f>IF(C981="","",COUNTA(C$4:C981))</f>
        <v>971</v>
      </c>
      <c r="B981" s="1" t="s">
        <v>45</v>
      </c>
      <c r="C981" s="1" t="s">
        <v>1885</v>
      </c>
      <c r="E981">
        <f t="shared" si="15"/>
        <v>0</v>
      </c>
    </row>
    <row r="982" spans="1:5">
      <c r="A982" s="1">
        <f>IF(C982="","",COUNTA(C$4:C982))</f>
        <v>972</v>
      </c>
      <c r="B982" s="1" t="s">
        <v>1886</v>
      </c>
      <c r="C982" s="1" t="s">
        <v>1887</v>
      </c>
      <c r="E982">
        <f t="shared" si="15"/>
        <v>0</v>
      </c>
    </row>
    <row r="983" spans="1:5">
      <c r="A983" s="1">
        <f>IF(C983="","",COUNTA(C$4:C983))</f>
        <v>973</v>
      </c>
      <c r="B983" s="1" t="s">
        <v>1888</v>
      </c>
      <c r="C983" s="1" t="s">
        <v>1889</v>
      </c>
      <c r="E983">
        <f t="shared" si="15"/>
        <v>0</v>
      </c>
    </row>
    <row r="984" spans="1:5">
      <c r="A984" s="1">
        <f>IF(C984="","",COUNTA(C$4:C984))</f>
        <v>974</v>
      </c>
      <c r="B984" s="1" t="s">
        <v>1890</v>
      </c>
      <c r="C984" s="1" t="s">
        <v>1891</v>
      </c>
      <c r="E984">
        <f t="shared" si="15"/>
        <v>0</v>
      </c>
    </row>
    <row r="985" spans="1:5">
      <c r="A985" s="1">
        <f>IF(C985="","",COUNTA(C$4:C985))</f>
        <v>975</v>
      </c>
      <c r="B985" s="1" t="s">
        <v>1892</v>
      </c>
      <c r="C985" s="1" t="s">
        <v>1893</v>
      </c>
      <c r="E985">
        <f t="shared" si="15"/>
        <v>0</v>
      </c>
    </row>
    <row r="986" spans="1:5">
      <c r="A986" s="1">
        <f>IF(C986="","",COUNTA(C$4:C986))</f>
        <v>976</v>
      </c>
      <c r="B986" s="1" t="s">
        <v>1894</v>
      </c>
      <c r="C986" s="1" t="s">
        <v>1895</v>
      </c>
      <c r="E986">
        <f t="shared" si="15"/>
        <v>0</v>
      </c>
    </row>
    <row r="987" spans="1:5">
      <c r="A987" s="1">
        <f>IF(C987="","",COUNTA(C$4:C987))</f>
        <v>977</v>
      </c>
      <c r="B987" s="1" t="s">
        <v>1896</v>
      </c>
      <c r="C987" s="1" t="s">
        <v>1897</v>
      </c>
      <c r="E987">
        <f t="shared" si="15"/>
        <v>0</v>
      </c>
    </row>
    <row r="988" spans="1:5">
      <c r="A988" s="1">
        <f>IF(C988="","",COUNTA(C$4:C988))</f>
        <v>978</v>
      </c>
      <c r="B988" s="1" t="s">
        <v>1898</v>
      </c>
      <c r="C988" s="1" t="s">
        <v>1899</v>
      </c>
      <c r="E988">
        <f t="shared" si="15"/>
        <v>0</v>
      </c>
    </row>
    <row r="989" spans="1:5">
      <c r="A989" s="1">
        <f>IF(C989="","",COUNTA(C$4:C989))</f>
        <v>979</v>
      </c>
      <c r="B989" s="1" t="s">
        <v>1900</v>
      </c>
      <c r="C989" s="1" t="s">
        <v>1901</v>
      </c>
      <c r="E989">
        <f t="shared" si="15"/>
        <v>0</v>
      </c>
    </row>
    <row r="990" spans="1:5">
      <c r="A990" s="1">
        <f>IF(C990="","",COUNTA(C$4:C990))</f>
        <v>980</v>
      </c>
      <c r="B990" s="1" t="s">
        <v>1902</v>
      </c>
      <c r="C990" s="1" t="s">
        <v>1903</v>
      </c>
      <c r="E990">
        <f t="shared" si="15"/>
        <v>0</v>
      </c>
    </row>
    <row r="991" spans="1:5">
      <c r="A991" s="1">
        <f>IF(C991="","",COUNTA(C$4:C991))</f>
        <v>981</v>
      </c>
      <c r="B991" s="1" t="s">
        <v>1904</v>
      </c>
      <c r="C991" s="1" t="s">
        <v>1905</v>
      </c>
      <c r="E991">
        <f t="shared" si="15"/>
        <v>0</v>
      </c>
    </row>
    <row r="992" spans="1:5">
      <c r="A992" s="1">
        <f>IF(C992="","",COUNTA(C$4:C992))</f>
        <v>982</v>
      </c>
      <c r="B992" s="1" t="s">
        <v>1906</v>
      </c>
      <c r="C992" s="1" t="s">
        <v>1907</v>
      </c>
      <c r="E992">
        <f t="shared" si="15"/>
        <v>0</v>
      </c>
    </row>
    <row r="993" spans="1:5">
      <c r="A993" s="1">
        <f>IF(C993="","",COUNTA(C$4:C993))</f>
        <v>983</v>
      </c>
      <c r="B993" s="1" t="s">
        <v>1908</v>
      </c>
      <c r="C993" s="1" t="s">
        <v>1909</v>
      </c>
      <c r="E993">
        <f t="shared" si="15"/>
        <v>0</v>
      </c>
    </row>
    <row r="994" spans="1:5">
      <c r="A994" s="1">
        <f>IF(C994="","",COUNTA(C$4:C994))</f>
        <v>984</v>
      </c>
      <c r="B994" s="1" t="s">
        <v>1910</v>
      </c>
      <c r="C994" s="1" t="s">
        <v>1911</v>
      </c>
      <c r="E994">
        <f t="shared" si="15"/>
        <v>0</v>
      </c>
    </row>
    <row r="995" spans="1:5">
      <c r="A995" s="1">
        <f>IF(C995="","",COUNTA(C$4:C995))</f>
        <v>985</v>
      </c>
      <c r="B995" s="1" t="s">
        <v>1906</v>
      </c>
      <c r="C995" s="1" t="s">
        <v>1912</v>
      </c>
      <c r="E995">
        <f t="shared" si="15"/>
        <v>0</v>
      </c>
    </row>
    <row r="996" spans="1:5">
      <c r="A996" s="1">
        <f>IF(C996="","",COUNTA(C$4:C996))</f>
        <v>986</v>
      </c>
      <c r="B996" s="1" t="s">
        <v>1913</v>
      </c>
      <c r="C996" s="1" t="s">
        <v>1914</v>
      </c>
      <c r="E996">
        <f t="shared" si="15"/>
        <v>0</v>
      </c>
    </row>
    <row r="997" spans="1:5">
      <c r="A997" s="1">
        <f>IF(C997="","",COUNTA(C$4:C997))</f>
        <v>987</v>
      </c>
      <c r="B997" s="1" t="s">
        <v>1915</v>
      </c>
      <c r="C997" s="1" t="s">
        <v>1916</v>
      </c>
      <c r="E997">
        <f t="shared" si="15"/>
        <v>0</v>
      </c>
    </row>
    <row r="998" spans="1:5">
      <c r="A998" s="1">
        <f>IF(C998="","",COUNTA(C$4:C998))</f>
        <v>988</v>
      </c>
      <c r="B998" s="1" t="s">
        <v>1917</v>
      </c>
      <c r="C998" s="1" t="s">
        <v>1918</v>
      </c>
      <c r="E998">
        <f t="shared" si="15"/>
        <v>0</v>
      </c>
    </row>
    <row r="999" spans="1:5">
      <c r="A999" s="1">
        <f>IF(C999="","",COUNTA(C$4:C999))</f>
        <v>989</v>
      </c>
      <c r="B999" s="1" t="s">
        <v>1919</v>
      </c>
      <c r="C999" s="1" t="s">
        <v>1920</v>
      </c>
      <c r="E999">
        <f t="shared" si="15"/>
        <v>0</v>
      </c>
    </row>
    <row r="1000" spans="1:5">
      <c r="A1000" s="1">
        <f>IF(C1000="","",COUNTA(C$4:C1000))</f>
        <v>990</v>
      </c>
      <c r="B1000" s="1" t="s">
        <v>1921</v>
      </c>
      <c r="C1000" s="1" t="s">
        <v>1922</v>
      </c>
      <c r="E1000">
        <f t="shared" si="15"/>
        <v>0</v>
      </c>
    </row>
    <row r="1001" spans="1:5">
      <c r="A1001" s="1">
        <f>IF(C1001="","",COUNTA(C$4:C1001))</f>
        <v>991</v>
      </c>
      <c r="B1001" s="1" t="s">
        <v>1923</v>
      </c>
      <c r="C1001" s="1" t="s">
        <v>1924</v>
      </c>
      <c r="E1001">
        <f t="shared" si="15"/>
        <v>0</v>
      </c>
    </row>
    <row r="1002" spans="1:5">
      <c r="A1002" s="1">
        <f>IF(C1002="","",COUNTA(C$4:C1002))</f>
        <v>992</v>
      </c>
      <c r="B1002" s="1" t="s">
        <v>1925</v>
      </c>
      <c r="C1002" s="1" t="s">
        <v>1926</v>
      </c>
      <c r="E1002">
        <f t="shared" si="15"/>
        <v>0</v>
      </c>
    </row>
    <row r="1003" spans="1:5">
      <c r="A1003" s="1">
        <f>IF(C1003="","",COUNTA(C$4:C1003))</f>
        <v>993</v>
      </c>
      <c r="B1003" s="1" t="s">
        <v>1927</v>
      </c>
      <c r="C1003" s="1" t="s">
        <v>1928</v>
      </c>
      <c r="E1003">
        <f t="shared" si="15"/>
        <v>0</v>
      </c>
    </row>
    <row r="1004" spans="1:5">
      <c r="A1004" s="12" t="s">
        <v>1929</v>
      </c>
      <c r="B1004" s="13"/>
      <c r="C1004" s="14"/>
      <c r="D1004" s="9"/>
      <c r="E1004">
        <f t="shared" si="15"/>
        <v>1</v>
      </c>
    </row>
    <row r="1005" spans="1:5">
      <c r="A1005" s="1">
        <f>IF(C1005="","",COUNTA(C$4:C1005))</f>
        <v>994</v>
      </c>
      <c r="B1005" s="1" t="s">
        <v>220</v>
      </c>
      <c r="C1005" s="1" t="s">
        <v>1930</v>
      </c>
      <c r="E1005">
        <f t="shared" si="15"/>
        <v>0</v>
      </c>
    </row>
    <row r="1006" spans="1:5">
      <c r="A1006" s="1">
        <f>IF(C1006="","",COUNTA(C$4:C1006))</f>
        <v>995</v>
      </c>
      <c r="B1006" s="1" t="s">
        <v>1931</v>
      </c>
      <c r="C1006" s="1" t="s">
        <v>1932</v>
      </c>
      <c r="E1006">
        <f t="shared" si="15"/>
        <v>0</v>
      </c>
    </row>
    <row r="1007" spans="1:5">
      <c r="A1007" s="1">
        <f>IF(C1007="","",COUNTA(C$4:C1007))</f>
        <v>996</v>
      </c>
      <c r="B1007" s="1" t="s">
        <v>1933</v>
      </c>
      <c r="C1007" s="1" t="s">
        <v>1934</v>
      </c>
      <c r="E1007">
        <f t="shared" si="15"/>
        <v>0</v>
      </c>
    </row>
    <row r="1008" spans="1:5">
      <c r="A1008" s="1">
        <f>IF(C1008="","",COUNTA(C$4:C1008))</f>
        <v>997</v>
      </c>
      <c r="B1008" s="1" t="s">
        <v>1935</v>
      </c>
      <c r="C1008" s="1" t="s">
        <v>1936</v>
      </c>
      <c r="E1008">
        <f t="shared" si="15"/>
        <v>0</v>
      </c>
    </row>
    <row r="1009" spans="1:5">
      <c r="A1009" s="1">
        <f>IF(C1009="","",COUNTA(C$4:C1009))</f>
        <v>998</v>
      </c>
      <c r="B1009" s="1" t="s">
        <v>1937</v>
      </c>
      <c r="C1009" s="1" t="s">
        <v>1938</v>
      </c>
      <c r="E1009">
        <f t="shared" si="15"/>
        <v>0</v>
      </c>
    </row>
    <row r="1010" spans="1:5">
      <c r="A1010" s="1">
        <f>IF(C1010="","",COUNTA(C$4:C1010))</f>
        <v>999</v>
      </c>
      <c r="B1010" s="1" t="s">
        <v>1939</v>
      </c>
      <c r="C1010" s="1" t="s">
        <v>1940</v>
      </c>
      <c r="E1010">
        <f t="shared" si="15"/>
        <v>0</v>
      </c>
    </row>
    <row r="1011" spans="1:5">
      <c r="A1011" s="1">
        <f>IF(C1011="","",COUNTA(C$4:C1011))</f>
        <v>1000</v>
      </c>
      <c r="B1011" s="1" t="s">
        <v>1941</v>
      </c>
      <c r="C1011" s="1" t="s">
        <v>1942</v>
      </c>
      <c r="E1011">
        <f t="shared" si="15"/>
        <v>0</v>
      </c>
    </row>
    <row r="1012" spans="1:5">
      <c r="A1012" s="1">
        <f>IF(C1012="","",COUNTA(C$4:C1012))</f>
        <v>1001</v>
      </c>
      <c r="B1012" s="1" t="s">
        <v>1943</v>
      </c>
      <c r="C1012" s="1" t="s">
        <v>1944</v>
      </c>
      <c r="E1012">
        <f t="shared" si="15"/>
        <v>0</v>
      </c>
    </row>
    <row r="1013" spans="1:5">
      <c r="A1013" s="1">
        <f>IF(C1013="","",COUNTA(C$4:C1013))</f>
        <v>1002</v>
      </c>
      <c r="B1013" s="1" t="s">
        <v>1945</v>
      </c>
      <c r="C1013" s="1" t="s">
        <v>1946</v>
      </c>
      <c r="E1013">
        <f t="shared" si="15"/>
        <v>0</v>
      </c>
    </row>
    <row r="1014" spans="1:5">
      <c r="A1014" s="1">
        <f>IF(C1014="","",COUNTA(C$4:C1014))</f>
        <v>1003</v>
      </c>
      <c r="B1014" s="1" t="s">
        <v>1947</v>
      </c>
      <c r="C1014" s="1" t="s">
        <v>1948</v>
      </c>
      <c r="E1014">
        <f t="shared" si="15"/>
        <v>0</v>
      </c>
    </row>
    <row r="1015" spans="1:5">
      <c r="A1015" s="1">
        <f>IF(C1015="","",COUNTA(C$4:C1015))</f>
        <v>1004</v>
      </c>
      <c r="B1015" s="1" t="s">
        <v>1949</v>
      </c>
      <c r="C1015" s="1" t="s">
        <v>1950</v>
      </c>
      <c r="E1015">
        <f t="shared" si="15"/>
        <v>0</v>
      </c>
    </row>
    <row r="1016" spans="1:5">
      <c r="A1016" s="1">
        <f>IF(C1016="","",COUNTA(C$4:C1016))</f>
        <v>1005</v>
      </c>
      <c r="B1016" s="1" t="s">
        <v>1951</v>
      </c>
      <c r="C1016" s="1" t="s">
        <v>1952</v>
      </c>
      <c r="E1016">
        <f t="shared" si="15"/>
        <v>0</v>
      </c>
    </row>
    <row r="1017" spans="1:5">
      <c r="A1017" s="1">
        <f>IF(C1017="","",COUNTA(C$4:C1017))</f>
        <v>1006</v>
      </c>
      <c r="B1017" s="1" t="s">
        <v>1953</v>
      </c>
      <c r="C1017" s="1" t="s">
        <v>1954</v>
      </c>
      <c r="E1017">
        <f t="shared" si="15"/>
        <v>0</v>
      </c>
    </row>
    <row r="1018" spans="1:5">
      <c r="A1018" s="1">
        <f>IF(C1018="","",COUNTA(C$4:C1018))</f>
        <v>1007</v>
      </c>
      <c r="B1018" s="1" t="s">
        <v>1955</v>
      </c>
      <c r="C1018" s="1" t="s">
        <v>1956</v>
      </c>
      <c r="E1018">
        <f t="shared" si="15"/>
        <v>0</v>
      </c>
    </row>
    <row r="1019" spans="1:5">
      <c r="A1019" s="1">
        <f>IF(C1019="","",COUNTA(C$4:C1019))</f>
        <v>1008</v>
      </c>
      <c r="B1019" s="1" t="s">
        <v>1957</v>
      </c>
      <c r="C1019" s="1" t="s">
        <v>1958</v>
      </c>
      <c r="E1019">
        <f t="shared" si="15"/>
        <v>0</v>
      </c>
    </row>
    <row r="1020" spans="1:5">
      <c r="A1020" s="1">
        <f>IF(C1020="","",COUNTA(C$4:C1020))</f>
        <v>1009</v>
      </c>
      <c r="B1020" s="1" t="s">
        <v>1959</v>
      </c>
      <c r="C1020" s="1" t="s">
        <v>1960</v>
      </c>
      <c r="E1020">
        <f t="shared" si="15"/>
        <v>0</v>
      </c>
    </row>
    <row r="1021" spans="1:5">
      <c r="A1021" s="1">
        <f>IF(C1021="","",COUNTA(C$4:C1021))</f>
        <v>1010</v>
      </c>
      <c r="B1021" s="1" t="s">
        <v>1961</v>
      </c>
      <c r="C1021" s="1" t="s">
        <v>1962</v>
      </c>
      <c r="E1021">
        <f t="shared" si="15"/>
        <v>0</v>
      </c>
    </row>
    <row r="1022" spans="1:5">
      <c r="A1022" s="1">
        <f>IF(C1022="","",COUNTA(C$4:C1022))</f>
        <v>1011</v>
      </c>
      <c r="B1022" s="1" t="s">
        <v>1963</v>
      </c>
      <c r="C1022" s="1" t="s">
        <v>1964</v>
      </c>
      <c r="E1022">
        <f t="shared" si="15"/>
        <v>0</v>
      </c>
    </row>
    <row r="1023" spans="1:5">
      <c r="A1023" s="1">
        <f>IF(C1023="","",COUNTA(C$4:C1023))</f>
        <v>1012</v>
      </c>
      <c r="B1023" s="1" t="s">
        <v>1965</v>
      </c>
      <c r="C1023" s="1" t="s">
        <v>1966</v>
      </c>
      <c r="E1023">
        <f t="shared" si="15"/>
        <v>0</v>
      </c>
    </row>
    <row r="1024" spans="1:5">
      <c r="A1024" s="1">
        <f>IF(C1024="","",COUNTA(C$4:C1024))</f>
        <v>1013</v>
      </c>
      <c r="B1024" s="1" t="s">
        <v>1967</v>
      </c>
      <c r="C1024" s="1" t="s">
        <v>1968</v>
      </c>
      <c r="E1024">
        <f t="shared" si="15"/>
        <v>0</v>
      </c>
    </row>
    <row r="1025" spans="1:5">
      <c r="A1025" s="1">
        <f>IF(C1025="","",COUNTA(C$4:C1025))</f>
        <v>1014</v>
      </c>
      <c r="B1025" s="1" t="s">
        <v>1969</v>
      </c>
      <c r="C1025" s="1" t="s">
        <v>1970</v>
      </c>
      <c r="E1025">
        <f t="shared" si="15"/>
        <v>0</v>
      </c>
    </row>
    <row r="1026" spans="1:5">
      <c r="A1026" s="1">
        <f>IF(C1026="","",COUNTA(C$4:C1026))</f>
        <v>1015</v>
      </c>
      <c r="B1026" s="1" t="s">
        <v>1971</v>
      </c>
      <c r="C1026" s="1" t="s">
        <v>1972</v>
      </c>
      <c r="E1026">
        <f t="shared" si="15"/>
        <v>0</v>
      </c>
    </row>
    <row r="1027" spans="1:5">
      <c r="A1027" s="1">
        <f>IF(C1027="","",COUNTA(C$4:C1027))</f>
        <v>1016</v>
      </c>
      <c r="B1027" s="1" t="s">
        <v>1973</v>
      </c>
      <c r="C1027" s="1" t="s">
        <v>1974</v>
      </c>
      <c r="E1027">
        <f t="shared" si="15"/>
        <v>0</v>
      </c>
    </row>
    <row r="1028" spans="1:5">
      <c r="A1028" s="1">
        <f>IF(C1028="","",COUNTA(C$4:C1028))</f>
        <v>1017</v>
      </c>
      <c r="B1028" s="1" t="s">
        <v>1973</v>
      </c>
      <c r="C1028" s="1" t="s">
        <v>1975</v>
      </c>
      <c r="E1028">
        <f t="shared" si="15"/>
        <v>0</v>
      </c>
    </row>
    <row r="1029" spans="1:5">
      <c r="A1029" s="1">
        <f>IF(C1029="","",COUNTA(C$4:C1029))</f>
        <v>1018</v>
      </c>
      <c r="B1029" s="1" t="s">
        <v>1976</v>
      </c>
      <c r="C1029" s="1" t="s">
        <v>1977</v>
      </c>
      <c r="E1029">
        <f t="shared" ref="E1029:E1092" si="16">IF(C1029=D1029,1,0)</f>
        <v>0</v>
      </c>
    </row>
    <row r="1030" spans="1:5">
      <c r="A1030" s="1">
        <f>IF(C1030="","",COUNTA(C$4:C1030))</f>
        <v>1019</v>
      </c>
      <c r="B1030" s="1" t="s">
        <v>1978</v>
      </c>
      <c r="C1030" s="1" t="s">
        <v>1979</v>
      </c>
      <c r="E1030">
        <f t="shared" si="16"/>
        <v>0</v>
      </c>
    </row>
    <row r="1031" spans="1:5">
      <c r="A1031" s="1">
        <f>IF(C1031="","",COUNTA(C$4:C1031))</f>
        <v>1020</v>
      </c>
      <c r="B1031" s="1" t="s">
        <v>1980</v>
      </c>
      <c r="C1031" s="1" t="s">
        <v>1981</v>
      </c>
      <c r="E1031">
        <f t="shared" si="16"/>
        <v>0</v>
      </c>
    </row>
    <row r="1032" spans="1:5">
      <c r="A1032" s="1">
        <f>IF(C1032="","",COUNTA(C$4:C1032))</f>
        <v>1021</v>
      </c>
      <c r="B1032" s="1" t="s">
        <v>1982</v>
      </c>
      <c r="C1032" s="1" t="s">
        <v>1983</v>
      </c>
      <c r="E1032">
        <f t="shared" si="16"/>
        <v>0</v>
      </c>
    </row>
    <row r="1033" spans="1:5">
      <c r="A1033" s="1">
        <f>IF(C1033="","",COUNTA(C$4:C1033))</f>
        <v>1022</v>
      </c>
      <c r="B1033" s="1" t="s">
        <v>1984</v>
      </c>
      <c r="C1033" s="1" t="s">
        <v>1985</v>
      </c>
      <c r="E1033">
        <f t="shared" si="16"/>
        <v>0</v>
      </c>
    </row>
    <row r="1034" spans="1:5">
      <c r="A1034" s="1">
        <f>IF(C1034="","",COUNTA(C$4:C1034))</f>
        <v>1023</v>
      </c>
      <c r="B1034" s="1" t="s">
        <v>1986</v>
      </c>
      <c r="C1034" s="1" t="s">
        <v>1987</v>
      </c>
      <c r="E1034">
        <f t="shared" si="16"/>
        <v>0</v>
      </c>
    </row>
    <row r="1035" spans="1:5">
      <c r="A1035" s="1">
        <f>IF(C1035="","",COUNTA(C$4:C1035))</f>
        <v>1024</v>
      </c>
      <c r="B1035" s="1" t="s">
        <v>1988</v>
      </c>
      <c r="C1035" s="1" t="s">
        <v>1989</v>
      </c>
      <c r="E1035">
        <f t="shared" si="16"/>
        <v>0</v>
      </c>
    </row>
    <row r="1036" spans="1:5">
      <c r="A1036" s="1">
        <f>IF(C1036="","",COUNTA(C$4:C1036))</f>
        <v>1025</v>
      </c>
      <c r="B1036" s="1" t="s">
        <v>1988</v>
      </c>
      <c r="C1036" s="1" t="s">
        <v>1990</v>
      </c>
      <c r="E1036">
        <f t="shared" si="16"/>
        <v>0</v>
      </c>
    </row>
    <row r="1037" spans="1:5">
      <c r="A1037" s="1">
        <f>IF(C1037="","",COUNTA(C$4:C1037))</f>
        <v>1026</v>
      </c>
      <c r="B1037" s="1" t="s">
        <v>1991</v>
      </c>
      <c r="C1037" s="1" t="s">
        <v>1992</v>
      </c>
      <c r="E1037">
        <f t="shared" si="16"/>
        <v>0</v>
      </c>
    </row>
    <row r="1038" spans="1:5">
      <c r="A1038" s="1">
        <f>IF(C1038="","",COUNTA(C$4:C1038))</f>
        <v>1027</v>
      </c>
      <c r="B1038" s="1" t="s">
        <v>1993</v>
      </c>
      <c r="C1038" s="1" t="s">
        <v>1994</v>
      </c>
      <c r="E1038">
        <f t="shared" si="16"/>
        <v>0</v>
      </c>
    </row>
    <row r="1039" spans="1:5">
      <c r="A1039" s="1">
        <f>IF(C1039="","",COUNTA(C$4:C1039))</f>
        <v>1028</v>
      </c>
      <c r="B1039" s="1" t="s">
        <v>1995</v>
      </c>
      <c r="C1039" s="1" t="s">
        <v>1996</v>
      </c>
      <c r="E1039">
        <f t="shared" si="16"/>
        <v>0</v>
      </c>
    </row>
    <row r="1040" spans="1:5">
      <c r="A1040" s="1">
        <f>IF(C1040="","",COUNTA(C$4:C1040))</f>
        <v>1029</v>
      </c>
      <c r="B1040" s="1" t="s">
        <v>1997</v>
      </c>
      <c r="C1040" s="1" t="s">
        <v>1998</v>
      </c>
      <c r="E1040">
        <f t="shared" si="16"/>
        <v>0</v>
      </c>
    </row>
    <row r="1041" spans="1:5">
      <c r="A1041" s="1">
        <f>IF(C1041="","",COUNTA(C$4:C1041))</f>
        <v>1030</v>
      </c>
      <c r="B1041" s="1" t="s">
        <v>1999</v>
      </c>
      <c r="C1041" s="1" t="s">
        <v>2000</v>
      </c>
      <c r="E1041">
        <f t="shared" si="16"/>
        <v>0</v>
      </c>
    </row>
    <row r="1042" spans="1:5">
      <c r="A1042" s="1">
        <f>IF(C1042="","",COUNTA(C$4:C1042))</f>
        <v>1031</v>
      </c>
      <c r="B1042" s="1" t="s">
        <v>2001</v>
      </c>
      <c r="C1042" s="1" t="s">
        <v>2002</v>
      </c>
      <c r="E1042">
        <f t="shared" si="16"/>
        <v>0</v>
      </c>
    </row>
    <row r="1043" spans="1:5">
      <c r="A1043" s="1">
        <f>IF(C1043="","",COUNTA(C$4:C1043))</f>
        <v>1032</v>
      </c>
      <c r="B1043" s="1" t="s">
        <v>2003</v>
      </c>
      <c r="C1043" s="1" t="s">
        <v>2004</v>
      </c>
      <c r="E1043">
        <f t="shared" si="16"/>
        <v>0</v>
      </c>
    </row>
    <row r="1044" spans="1:5">
      <c r="A1044" s="1">
        <f>IF(C1044="","",COUNTA(C$4:C1044))</f>
        <v>1033</v>
      </c>
      <c r="B1044" s="1" t="s">
        <v>2005</v>
      </c>
      <c r="C1044" s="1" t="s">
        <v>2006</v>
      </c>
      <c r="E1044">
        <f t="shared" si="16"/>
        <v>0</v>
      </c>
    </row>
    <row r="1045" spans="1:5">
      <c r="A1045" s="1">
        <f>IF(C1045="","",COUNTA(C$4:C1045))</f>
        <v>1034</v>
      </c>
      <c r="B1045" s="1" t="s">
        <v>1042</v>
      </c>
      <c r="C1045" s="1" t="s">
        <v>2007</v>
      </c>
      <c r="E1045">
        <f t="shared" si="16"/>
        <v>0</v>
      </c>
    </row>
    <row r="1046" spans="1:5">
      <c r="A1046" s="1">
        <f>IF(C1046="","",COUNTA(C$4:C1046))</f>
        <v>1035</v>
      </c>
      <c r="B1046" s="1" t="s">
        <v>2008</v>
      </c>
      <c r="C1046" s="1" t="s">
        <v>2009</v>
      </c>
      <c r="E1046">
        <f t="shared" si="16"/>
        <v>0</v>
      </c>
    </row>
    <row r="1047" spans="1:5">
      <c r="A1047" s="1">
        <f>IF(C1047="","",COUNTA(C$4:C1047))</f>
        <v>1036</v>
      </c>
      <c r="B1047" s="1" t="s">
        <v>2010</v>
      </c>
      <c r="C1047" s="1" t="s">
        <v>2011</v>
      </c>
      <c r="E1047">
        <f t="shared" si="16"/>
        <v>0</v>
      </c>
    </row>
    <row r="1048" spans="1:5">
      <c r="A1048" s="1">
        <f>IF(C1048="","",COUNTA(C$4:C1048))</f>
        <v>1037</v>
      </c>
      <c r="B1048" s="1" t="s">
        <v>2012</v>
      </c>
      <c r="C1048" s="1" t="s">
        <v>2013</v>
      </c>
      <c r="E1048">
        <f t="shared" si="16"/>
        <v>0</v>
      </c>
    </row>
    <row r="1049" spans="1:5">
      <c r="A1049" s="1">
        <f>IF(C1049="","",COUNTA(C$4:C1049))</f>
        <v>1038</v>
      </c>
      <c r="B1049" s="1" t="s">
        <v>409</v>
      </c>
      <c r="C1049" s="1" t="s">
        <v>2014</v>
      </c>
      <c r="E1049">
        <f t="shared" si="16"/>
        <v>0</v>
      </c>
    </row>
    <row r="1050" spans="1:5">
      <c r="A1050" s="1">
        <f>IF(C1050="","",COUNTA(C$4:C1050))</f>
        <v>1039</v>
      </c>
      <c r="B1050" s="1" t="s">
        <v>2015</v>
      </c>
      <c r="C1050" s="1" t="s">
        <v>2016</v>
      </c>
      <c r="E1050">
        <f t="shared" si="16"/>
        <v>0</v>
      </c>
    </row>
    <row r="1051" spans="1:5">
      <c r="A1051" s="1">
        <f>IF(C1051="","",COUNTA(C$4:C1051))</f>
        <v>1040</v>
      </c>
      <c r="B1051" s="1" t="s">
        <v>2015</v>
      </c>
      <c r="C1051" s="1" t="s">
        <v>2017</v>
      </c>
      <c r="E1051">
        <f t="shared" si="16"/>
        <v>0</v>
      </c>
    </row>
    <row r="1052" spans="1:5">
      <c r="A1052" s="1">
        <f>IF(C1052="","",COUNTA(C$4:C1052))</f>
        <v>1041</v>
      </c>
      <c r="B1052" s="1" t="s">
        <v>2018</v>
      </c>
      <c r="C1052" s="1" t="s">
        <v>2019</v>
      </c>
      <c r="E1052">
        <f t="shared" si="16"/>
        <v>0</v>
      </c>
    </row>
    <row r="1053" spans="1:5">
      <c r="A1053" s="1">
        <f>IF(C1053="","",COUNTA(C$4:C1053))</f>
        <v>1042</v>
      </c>
      <c r="B1053" s="1" t="s">
        <v>2020</v>
      </c>
      <c r="C1053" s="1" t="s">
        <v>2021</v>
      </c>
      <c r="E1053">
        <f t="shared" si="16"/>
        <v>0</v>
      </c>
    </row>
    <row r="1054" spans="1:5">
      <c r="A1054" s="1">
        <f>IF(C1054="","",COUNTA(C$4:C1054))</f>
        <v>1043</v>
      </c>
      <c r="B1054" s="1" t="s">
        <v>2022</v>
      </c>
      <c r="C1054" s="1" t="s">
        <v>2023</v>
      </c>
      <c r="E1054">
        <f t="shared" si="16"/>
        <v>0</v>
      </c>
    </row>
    <row r="1055" spans="1:5">
      <c r="A1055" s="1">
        <f>IF(C1055="","",COUNTA(C$4:C1055))</f>
        <v>1044</v>
      </c>
      <c r="B1055" s="1" t="s">
        <v>2024</v>
      </c>
      <c r="C1055" s="1" t="s">
        <v>2025</v>
      </c>
      <c r="E1055">
        <f t="shared" si="16"/>
        <v>0</v>
      </c>
    </row>
    <row r="1056" spans="1:5">
      <c r="A1056" s="1">
        <f>IF(C1056="","",COUNTA(C$4:C1056))</f>
        <v>1045</v>
      </c>
      <c r="B1056" s="1" t="s">
        <v>2026</v>
      </c>
      <c r="C1056" s="1" t="s">
        <v>2027</v>
      </c>
      <c r="E1056">
        <f t="shared" si="16"/>
        <v>0</v>
      </c>
    </row>
    <row r="1057" spans="1:5">
      <c r="A1057" s="1">
        <f>IF(C1057="","",COUNTA(C$4:C1057))</f>
        <v>1046</v>
      </c>
      <c r="B1057" s="1" t="s">
        <v>2028</v>
      </c>
      <c r="C1057" s="1" t="s">
        <v>2029</v>
      </c>
      <c r="E1057">
        <f t="shared" si="16"/>
        <v>0</v>
      </c>
    </row>
    <row r="1058" spans="1:5">
      <c r="A1058" s="1">
        <f>IF(C1058="","",COUNTA(C$4:C1058))</f>
        <v>1047</v>
      </c>
      <c r="B1058" s="1" t="s">
        <v>2030</v>
      </c>
      <c r="C1058" s="1" t="s">
        <v>2031</v>
      </c>
      <c r="E1058">
        <f t="shared" si="16"/>
        <v>0</v>
      </c>
    </row>
    <row r="1059" spans="1:5">
      <c r="A1059" s="1">
        <f>IF(C1059="","",COUNTA(C$4:C1059))</f>
        <v>1048</v>
      </c>
      <c r="B1059" s="1" t="s">
        <v>2032</v>
      </c>
      <c r="C1059" s="1" t="s">
        <v>2033</v>
      </c>
      <c r="E1059">
        <f t="shared" si="16"/>
        <v>0</v>
      </c>
    </row>
    <row r="1060" spans="1:5">
      <c r="A1060" s="1">
        <f>IF(C1060="","",COUNTA(C$4:C1060))</f>
        <v>1049</v>
      </c>
      <c r="B1060" s="1" t="s">
        <v>2034</v>
      </c>
      <c r="C1060" s="1" t="s">
        <v>2035</v>
      </c>
      <c r="E1060">
        <f t="shared" si="16"/>
        <v>0</v>
      </c>
    </row>
    <row r="1061" spans="1:5">
      <c r="A1061" s="1">
        <f>IF(C1061="","",COUNTA(C$4:C1061))</f>
        <v>1050</v>
      </c>
      <c r="B1061" s="1" t="s">
        <v>2036</v>
      </c>
      <c r="C1061" s="1" t="s">
        <v>2037</v>
      </c>
      <c r="E1061">
        <f t="shared" si="16"/>
        <v>0</v>
      </c>
    </row>
    <row r="1062" spans="1:5">
      <c r="A1062" s="1">
        <f>IF(C1062="","",COUNTA(C$4:C1062))</f>
        <v>1051</v>
      </c>
      <c r="B1062" s="1" t="s">
        <v>2038</v>
      </c>
      <c r="C1062" s="1" t="s">
        <v>2039</v>
      </c>
      <c r="E1062">
        <f t="shared" si="16"/>
        <v>0</v>
      </c>
    </row>
    <row r="1063" spans="1:5">
      <c r="A1063" s="1">
        <f>IF(C1063="","",COUNTA(C$4:C1063))</f>
        <v>1052</v>
      </c>
      <c r="B1063" s="1" t="s">
        <v>2040</v>
      </c>
      <c r="C1063" s="1" t="s">
        <v>2041</v>
      </c>
      <c r="E1063">
        <f t="shared" si="16"/>
        <v>0</v>
      </c>
    </row>
    <row r="1064" spans="1:5">
      <c r="A1064" s="1">
        <f>IF(C1064="","",COUNTA(C$4:C1064))</f>
        <v>1053</v>
      </c>
      <c r="B1064" s="1" t="s">
        <v>2042</v>
      </c>
      <c r="C1064" s="1" t="s">
        <v>2043</v>
      </c>
      <c r="E1064">
        <f t="shared" si="16"/>
        <v>0</v>
      </c>
    </row>
    <row r="1065" spans="1:5">
      <c r="A1065" s="1">
        <f>IF(C1065="","",COUNTA(C$4:C1065))</f>
        <v>1054</v>
      </c>
      <c r="B1065" s="1" t="s">
        <v>2015</v>
      </c>
      <c r="C1065" s="1" t="s">
        <v>2044</v>
      </c>
      <c r="E1065">
        <f t="shared" si="16"/>
        <v>0</v>
      </c>
    </row>
    <row r="1066" spans="1:5">
      <c r="A1066" s="1">
        <f>IF(C1066="","",COUNTA(C$4:C1066))</f>
        <v>1055</v>
      </c>
      <c r="B1066" s="1" t="s">
        <v>2020</v>
      </c>
      <c r="C1066" s="1" t="s">
        <v>2045</v>
      </c>
      <c r="E1066">
        <f t="shared" si="16"/>
        <v>0</v>
      </c>
    </row>
    <row r="1067" spans="1:5">
      <c r="A1067" s="1">
        <f>IF(C1067="","",COUNTA(C$4:C1067))</f>
        <v>1056</v>
      </c>
      <c r="B1067" s="1" t="s">
        <v>2046</v>
      </c>
      <c r="C1067" s="1" t="s">
        <v>2047</v>
      </c>
      <c r="E1067">
        <f t="shared" si="16"/>
        <v>0</v>
      </c>
    </row>
    <row r="1068" spans="1:5">
      <c r="A1068" s="1">
        <f>IF(C1068="","",COUNTA(C$4:C1068))</f>
        <v>1057</v>
      </c>
      <c r="B1068" s="1" t="s">
        <v>2048</v>
      </c>
      <c r="C1068" s="1" t="s">
        <v>2049</v>
      </c>
      <c r="E1068">
        <f t="shared" si="16"/>
        <v>0</v>
      </c>
    </row>
    <row r="1069" spans="1:5">
      <c r="A1069" s="1">
        <f>IF(C1069="","",COUNTA(C$4:C1069))</f>
        <v>1058</v>
      </c>
      <c r="B1069" s="1" t="s">
        <v>2050</v>
      </c>
      <c r="C1069" s="1" t="s">
        <v>2051</v>
      </c>
      <c r="E1069">
        <f t="shared" si="16"/>
        <v>0</v>
      </c>
    </row>
    <row r="1070" spans="1:5">
      <c r="A1070" s="1">
        <f>IF(C1070="","",COUNTA(C$4:C1070))</f>
        <v>1059</v>
      </c>
      <c r="B1070" s="1" t="s">
        <v>2052</v>
      </c>
      <c r="C1070" s="1" t="s">
        <v>2053</v>
      </c>
      <c r="E1070">
        <f t="shared" si="16"/>
        <v>0</v>
      </c>
    </row>
    <row r="1071" spans="1:5">
      <c r="A1071" s="1">
        <f>IF(C1071="","",COUNTA(C$4:C1071))</f>
        <v>1060</v>
      </c>
      <c r="B1071" s="1" t="s">
        <v>2052</v>
      </c>
      <c r="C1071" s="1" t="s">
        <v>2054</v>
      </c>
      <c r="E1071">
        <f t="shared" si="16"/>
        <v>0</v>
      </c>
    </row>
    <row r="1072" spans="1:5">
      <c r="A1072" s="1">
        <f>IF(C1072="","",COUNTA(C$4:C1072))</f>
        <v>1061</v>
      </c>
      <c r="B1072" s="1" t="s">
        <v>2055</v>
      </c>
      <c r="C1072" s="1" t="s">
        <v>2056</v>
      </c>
      <c r="E1072">
        <f t="shared" si="16"/>
        <v>0</v>
      </c>
    </row>
    <row r="1073" spans="1:5">
      <c r="A1073" s="1">
        <f>IF(C1073="","",COUNTA(C$4:C1073))</f>
        <v>1062</v>
      </c>
      <c r="B1073" s="1" t="s">
        <v>2057</v>
      </c>
      <c r="C1073" s="1" t="s">
        <v>2058</v>
      </c>
      <c r="E1073">
        <f t="shared" si="16"/>
        <v>0</v>
      </c>
    </row>
    <row r="1074" spans="1:5">
      <c r="A1074" s="1">
        <f>IF(C1074="","",COUNTA(C$4:C1074))</f>
        <v>1063</v>
      </c>
      <c r="B1074" s="1" t="s">
        <v>2059</v>
      </c>
      <c r="C1074" s="1" t="s">
        <v>2060</v>
      </c>
      <c r="E1074">
        <f t="shared" si="16"/>
        <v>0</v>
      </c>
    </row>
    <row r="1075" spans="1:5">
      <c r="A1075" s="1">
        <f>IF(C1075="","",COUNTA(C$4:C1075))</f>
        <v>1064</v>
      </c>
      <c r="B1075" s="1" t="s">
        <v>2061</v>
      </c>
      <c r="C1075" s="1" t="s">
        <v>2062</v>
      </c>
      <c r="E1075">
        <f t="shared" si="16"/>
        <v>0</v>
      </c>
    </row>
    <row r="1076" spans="1:5">
      <c r="A1076" s="1">
        <f>IF(C1076="","",COUNTA(C$4:C1076))</f>
        <v>1065</v>
      </c>
      <c r="B1076" s="1" t="s">
        <v>2063</v>
      </c>
      <c r="C1076" s="1" t="s">
        <v>2064</v>
      </c>
      <c r="E1076">
        <f t="shared" si="16"/>
        <v>0</v>
      </c>
    </row>
    <row r="1077" spans="1:5">
      <c r="A1077" s="1">
        <f>IF(C1077="","",COUNTA(C$4:C1077))</f>
        <v>1066</v>
      </c>
      <c r="B1077" s="1" t="s">
        <v>2065</v>
      </c>
      <c r="C1077" s="1" t="s">
        <v>2066</v>
      </c>
      <c r="E1077">
        <f t="shared" si="16"/>
        <v>0</v>
      </c>
    </row>
    <row r="1078" spans="1:5">
      <c r="A1078" s="1">
        <f>IF(C1078="","",COUNTA(C$4:C1078))</f>
        <v>1067</v>
      </c>
      <c r="B1078" s="1" t="s">
        <v>2067</v>
      </c>
      <c r="C1078" s="1" t="s">
        <v>2068</v>
      </c>
      <c r="E1078">
        <f t="shared" si="16"/>
        <v>0</v>
      </c>
    </row>
    <row r="1079" spans="1:5">
      <c r="A1079" s="1">
        <f>IF(C1079="","",COUNTA(C$4:C1079))</f>
        <v>1068</v>
      </c>
      <c r="B1079" s="1" t="s">
        <v>2067</v>
      </c>
      <c r="C1079" s="1" t="s">
        <v>2069</v>
      </c>
      <c r="E1079">
        <f t="shared" si="16"/>
        <v>0</v>
      </c>
    </row>
    <row r="1080" spans="1:5">
      <c r="A1080" s="1">
        <f>IF(C1080="","",COUNTA(C$4:C1080))</f>
        <v>1069</v>
      </c>
      <c r="B1080" s="1" t="s">
        <v>2070</v>
      </c>
      <c r="C1080" s="1" t="s">
        <v>2071</v>
      </c>
      <c r="E1080">
        <f t="shared" si="16"/>
        <v>0</v>
      </c>
    </row>
    <row r="1081" spans="1:5">
      <c r="A1081" s="1">
        <f>IF(C1081="","",COUNTA(C$4:C1081))</f>
        <v>1070</v>
      </c>
      <c r="B1081" s="1" t="s">
        <v>2072</v>
      </c>
      <c r="C1081" s="1" t="s">
        <v>2073</v>
      </c>
      <c r="E1081">
        <f t="shared" si="16"/>
        <v>0</v>
      </c>
    </row>
    <row r="1082" spans="1:5">
      <c r="A1082" s="1">
        <f>IF(C1082="","",COUNTA(C$4:C1082))</f>
        <v>1071</v>
      </c>
      <c r="B1082" s="1" t="s">
        <v>1557</v>
      </c>
      <c r="C1082" s="1" t="s">
        <v>2074</v>
      </c>
      <c r="E1082">
        <f t="shared" si="16"/>
        <v>0</v>
      </c>
    </row>
    <row r="1083" spans="1:5">
      <c r="A1083" s="1">
        <f>IF(C1083="","",COUNTA(C$4:C1083))</f>
        <v>1072</v>
      </c>
      <c r="B1083" s="1" t="s">
        <v>2075</v>
      </c>
      <c r="C1083" s="1" t="s">
        <v>2076</v>
      </c>
      <c r="E1083">
        <f t="shared" si="16"/>
        <v>0</v>
      </c>
    </row>
    <row r="1084" spans="1:5">
      <c r="A1084" s="1">
        <f>IF(C1084="","",COUNTA(C$4:C1084))</f>
        <v>1073</v>
      </c>
      <c r="B1084" s="1" t="s">
        <v>2077</v>
      </c>
      <c r="C1084" s="1" t="s">
        <v>2078</v>
      </c>
      <c r="E1084">
        <f t="shared" si="16"/>
        <v>0</v>
      </c>
    </row>
    <row r="1085" spans="1:5">
      <c r="A1085" s="1">
        <f>IF(C1085="","",COUNTA(C$4:C1085))</f>
        <v>1074</v>
      </c>
      <c r="B1085" s="1" t="s">
        <v>2079</v>
      </c>
      <c r="C1085" s="1" t="s">
        <v>2080</v>
      </c>
      <c r="E1085">
        <f t="shared" si="16"/>
        <v>0</v>
      </c>
    </row>
    <row r="1086" spans="1:5">
      <c r="A1086" s="1">
        <f>IF(C1086="","",COUNTA(C$4:C1086))</f>
        <v>1075</v>
      </c>
      <c r="B1086" s="1" t="s">
        <v>2081</v>
      </c>
      <c r="C1086" s="1" t="s">
        <v>2082</v>
      </c>
      <c r="E1086">
        <f t="shared" si="16"/>
        <v>0</v>
      </c>
    </row>
    <row r="1087" spans="1:5">
      <c r="A1087" s="1">
        <f>IF(C1087="","",COUNTA(C$4:C1087))</f>
        <v>1076</v>
      </c>
      <c r="B1087" s="1" t="s">
        <v>2083</v>
      </c>
      <c r="C1087" s="1" t="s">
        <v>2084</v>
      </c>
      <c r="E1087">
        <f t="shared" si="16"/>
        <v>0</v>
      </c>
    </row>
    <row r="1088" spans="1:5">
      <c r="A1088" s="1">
        <f>IF(C1088="","",COUNTA(C$4:C1088))</f>
        <v>1077</v>
      </c>
      <c r="B1088" s="1" t="s">
        <v>2085</v>
      </c>
      <c r="C1088" s="1" t="s">
        <v>2086</v>
      </c>
      <c r="E1088">
        <f t="shared" si="16"/>
        <v>0</v>
      </c>
    </row>
    <row r="1089" spans="1:5">
      <c r="A1089" s="1">
        <f>IF(C1089="","",COUNTA(C$4:C1089))</f>
        <v>1078</v>
      </c>
      <c r="B1089" s="1" t="s">
        <v>2087</v>
      </c>
      <c r="C1089" s="1" t="s">
        <v>2088</v>
      </c>
      <c r="E1089">
        <f t="shared" si="16"/>
        <v>0</v>
      </c>
    </row>
    <row r="1090" spans="1:5">
      <c r="A1090" s="1">
        <f>IF(C1090="","",COUNTA(C$4:C1090))</f>
        <v>1079</v>
      </c>
      <c r="B1090" s="1" t="s">
        <v>927</v>
      </c>
      <c r="C1090" s="1" t="s">
        <v>2089</v>
      </c>
      <c r="E1090">
        <f t="shared" si="16"/>
        <v>0</v>
      </c>
    </row>
    <row r="1091" spans="1:5">
      <c r="A1091" s="1">
        <f>IF(C1091="","",COUNTA(C$4:C1091))</f>
        <v>1080</v>
      </c>
      <c r="B1091" s="1" t="s">
        <v>2090</v>
      </c>
      <c r="C1091" s="1" t="s">
        <v>2091</v>
      </c>
      <c r="E1091">
        <f t="shared" si="16"/>
        <v>0</v>
      </c>
    </row>
    <row r="1092" spans="1:5">
      <c r="A1092" s="1">
        <f>IF(C1092="","",COUNTA(C$4:C1092))</f>
        <v>1081</v>
      </c>
      <c r="B1092" s="1" t="s">
        <v>1439</v>
      </c>
      <c r="C1092" s="1" t="s">
        <v>1440</v>
      </c>
      <c r="E1092">
        <f t="shared" si="16"/>
        <v>0</v>
      </c>
    </row>
    <row r="1093" spans="1:5">
      <c r="A1093" s="1">
        <f>IF(C1093="","",COUNTA(C$4:C1093))</f>
        <v>1082</v>
      </c>
      <c r="B1093" s="1" t="s">
        <v>267</v>
      </c>
      <c r="C1093" s="1" t="s">
        <v>2092</v>
      </c>
      <c r="E1093">
        <f t="shared" ref="E1093:E1156" si="17">IF(C1093=D1093,1,0)</f>
        <v>0</v>
      </c>
    </row>
    <row r="1094" spans="1:5">
      <c r="A1094" s="1">
        <f>IF(C1094="","",COUNTA(C$4:C1094))</f>
        <v>1083</v>
      </c>
      <c r="B1094" s="1" t="s">
        <v>2093</v>
      </c>
      <c r="C1094" s="1" t="s">
        <v>2094</v>
      </c>
      <c r="E1094">
        <f t="shared" si="17"/>
        <v>0</v>
      </c>
    </row>
    <row r="1095" spans="1:5">
      <c r="A1095" s="1">
        <f>IF(C1095="","",COUNTA(C$4:C1095))</f>
        <v>1084</v>
      </c>
      <c r="B1095" s="1" t="s">
        <v>2095</v>
      </c>
      <c r="C1095" s="1" t="s">
        <v>2096</v>
      </c>
      <c r="E1095">
        <f t="shared" si="17"/>
        <v>0</v>
      </c>
    </row>
    <row r="1096" spans="1:5">
      <c r="A1096" s="1">
        <f>IF(C1096="","",COUNTA(C$4:C1096))</f>
        <v>1085</v>
      </c>
      <c r="B1096" s="1" t="s">
        <v>2097</v>
      </c>
      <c r="C1096" s="1" t="s">
        <v>2098</v>
      </c>
      <c r="E1096">
        <f t="shared" si="17"/>
        <v>0</v>
      </c>
    </row>
    <row r="1097" spans="1:5">
      <c r="A1097" s="1">
        <f>IF(C1097="","",COUNTA(C$4:C1097))</f>
        <v>1086</v>
      </c>
      <c r="B1097" s="1" t="s">
        <v>2099</v>
      </c>
      <c r="C1097" s="1" t="s">
        <v>2100</v>
      </c>
      <c r="E1097">
        <f t="shared" si="17"/>
        <v>0</v>
      </c>
    </row>
    <row r="1098" spans="1:5">
      <c r="A1098" s="1">
        <f>IF(C1098="","",COUNTA(C$4:C1098))</f>
        <v>1087</v>
      </c>
      <c r="B1098" s="1" t="s">
        <v>2101</v>
      </c>
      <c r="C1098" s="1" t="s">
        <v>2102</v>
      </c>
      <c r="E1098">
        <f t="shared" si="17"/>
        <v>0</v>
      </c>
    </row>
    <row r="1099" spans="1:5">
      <c r="A1099" s="1">
        <f>IF(C1099="","",COUNTA(C$4:C1099))</f>
        <v>1088</v>
      </c>
      <c r="B1099" s="1" t="s">
        <v>2103</v>
      </c>
      <c r="C1099" s="1" t="s">
        <v>2104</v>
      </c>
      <c r="E1099">
        <f t="shared" si="17"/>
        <v>0</v>
      </c>
    </row>
    <row r="1100" spans="1:5">
      <c r="A1100" s="1">
        <f>IF(C1100="","",COUNTA(C$4:C1100))</f>
        <v>1089</v>
      </c>
      <c r="B1100" s="1" t="s">
        <v>2105</v>
      </c>
      <c r="C1100" s="1" t="s">
        <v>2106</v>
      </c>
      <c r="E1100">
        <f t="shared" si="17"/>
        <v>0</v>
      </c>
    </row>
    <row r="1101" spans="1:5">
      <c r="A1101" s="1">
        <f>IF(C1101="","",COUNTA(C$4:C1101))</f>
        <v>1090</v>
      </c>
      <c r="B1101" s="1" t="s">
        <v>2107</v>
      </c>
      <c r="C1101" s="1" t="s">
        <v>2108</v>
      </c>
      <c r="E1101">
        <f t="shared" si="17"/>
        <v>0</v>
      </c>
    </row>
    <row r="1102" spans="1:5">
      <c r="A1102" s="1">
        <f>IF(C1102="","",COUNTA(C$4:C1102))</f>
        <v>1091</v>
      </c>
      <c r="B1102" s="1" t="s">
        <v>2109</v>
      </c>
      <c r="C1102" s="1" t="s">
        <v>2110</v>
      </c>
      <c r="E1102">
        <f t="shared" si="17"/>
        <v>0</v>
      </c>
    </row>
    <row r="1103" spans="1:5">
      <c r="A1103" s="1">
        <f>IF(C1103="","",COUNTA(C$4:C1103))</f>
        <v>1092</v>
      </c>
      <c r="B1103" s="1" t="s">
        <v>2111</v>
      </c>
      <c r="C1103" s="1" t="s">
        <v>2112</v>
      </c>
      <c r="E1103">
        <f t="shared" si="17"/>
        <v>0</v>
      </c>
    </row>
    <row r="1104" spans="1:5">
      <c r="A1104" s="1">
        <f>IF(C1104="","",COUNTA(C$4:C1104))</f>
        <v>1093</v>
      </c>
      <c r="B1104" s="1" t="s">
        <v>2113</v>
      </c>
      <c r="C1104" s="1" t="s">
        <v>2114</v>
      </c>
      <c r="E1104">
        <f t="shared" si="17"/>
        <v>0</v>
      </c>
    </row>
    <row r="1105" spans="1:5">
      <c r="A1105" s="1">
        <f>IF(C1105="","",COUNTA(C$4:C1105))</f>
        <v>1094</v>
      </c>
      <c r="B1105" s="1" t="s">
        <v>2115</v>
      </c>
      <c r="C1105" s="1" t="s">
        <v>2116</v>
      </c>
      <c r="E1105">
        <f t="shared" si="17"/>
        <v>0</v>
      </c>
    </row>
    <row r="1106" spans="1:5">
      <c r="A1106" s="1">
        <f>IF(C1106="","",COUNTA(C$4:C1106))</f>
        <v>1095</v>
      </c>
      <c r="B1106" s="1" t="s">
        <v>2115</v>
      </c>
      <c r="C1106" s="1" t="s">
        <v>2117</v>
      </c>
      <c r="E1106">
        <f t="shared" si="17"/>
        <v>0</v>
      </c>
    </row>
    <row r="1107" spans="1:5">
      <c r="A1107" s="1">
        <f>IF(C1107="","",COUNTA(C$4:C1107))</f>
        <v>1096</v>
      </c>
      <c r="B1107" s="1" t="s">
        <v>2118</v>
      </c>
      <c r="C1107" s="1" t="s">
        <v>2119</v>
      </c>
      <c r="E1107">
        <f t="shared" si="17"/>
        <v>0</v>
      </c>
    </row>
    <row r="1108" spans="1:5">
      <c r="A1108" s="1">
        <f>IF(C1108="","",COUNTA(C$4:C1108))</f>
        <v>1097</v>
      </c>
      <c r="B1108" s="1" t="s">
        <v>2120</v>
      </c>
      <c r="C1108" s="1" t="s">
        <v>2121</v>
      </c>
      <c r="E1108">
        <f t="shared" si="17"/>
        <v>0</v>
      </c>
    </row>
    <row r="1109" spans="1:5">
      <c r="A1109" s="1">
        <f>IF(C1109="","",COUNTA(C$4:C1109))</f>
        <v>1098</v>
      </c>
      <c r="B1109" s="1" t="s">
        <v>2122</v>
      </c>
      <c r="C1109" s="1" t="s">
        <v>2123</v>
      </c>
      <c r="E1109">
        <f t="shared" si="17"/>
        <v>0</v>
      </c>
    </row>
    <row r="1110" spans="1:5">
      <c r="A1110" s="1">
        <f>IF(C1110="","",COUNTA(C$4:C1110))</f>
        <v>1099</v>
      </c>
      <c r="B1110" s="1" t="s">
        <v>2122</v>
      </c>
      <c r="C1110" s="1" t="s">
        <v>2124</v>
      </c>
      <c r="E1110">
        <f t="shared" si="17"/>
        <v>0</v>
      </c>
    </row>
    <row r="1111" spans="1:5">
      <c r="A1111" s="1">
        <f>IF(C1111="","",COUNTA(C$4:C1111))</f>
        <v>1100</v>
      </c>
      <c r="B1111" s="1" t="s">
        <v>2125</v>
      </c>
      <c r="C1111" s="1" t="s">
        <v>2126</v>
      </c>
      <c r="E1111">
        <f t="shared" si="17"/>
        <v>0</v>
      </c>
    </row>
    <row r="1112" spans="1:5">
      <c r="A1112" s="1">
        <f>IF(C1112="","",COUNTA(C$4:C1112))</f>
        <v>1101</v>
      </c>
      <c r="B1112" s="1" t="s">
        <v>2127</v>
      </c>
      <c r="C1112" s="1" t="s">
        <v>2128</v>
      </c>
      <c r="E1112">
        <f t="shared" si="17"/>
        <v>0</v>
      </c>
    </row>
    <row r="1113" spans="1:5">
      <c r="A1113" s="1">
        <f>IF(C1113="","",COUNTA(C$4:C1113))</f>
        <v>1102</v>
      </c>
      <c r="B1113" s="1" t="s">
        <v>2129</v>
      </c>
      <c r="C1113" s="1" t="s">
        <v>2130</v>
      </c>
      <c r="E1113">
        <f t="shared" si="17"/>
        <v>0</v>
      </c>
    </row>
    <row r="1114" spans="1:5">
      <c r="A1114" s="1">
        <f>IF(C1114="","",COUNTA(C$4:C1114))</f>
        <v>1103</v>
      </c>
      <c r="B1114" s="1" t="s">
        <v>2131</v>
      </c>
      <c r="C1114" s="1" t="s">
        <v>2132</v>
      </c>
      <c r="E1114">
        <f t="shared" si="17"/>
        <v>0</v>
      </c>
    </row>
    <row r="1115" spans="1:5">
      <c r="A1115" s="1">
        <f>IF(C1115="","",COUNTA(C$4:C1115))</f>
        <v>1104</v>
      </c>
      <c r="B1115" s="1" t="s">
        <v>2133</v>
      </c>
      <c r="C1115" s="1" t="s">
        <v>2134</v>
      </c>
      <c r="E1115">
        <f t="shared" si="17"/>
        <v>0</v>
      </c>
    </row>
    <row r="1116" spans="1:5">
      <c r="A1116" s="1">
        <f>IF(C1116="","",COUNTA(C$4:C1116))</f>
        <v>1105</v>
      </c>
      <c r="B1116" s="1" t="s">
        <v>2135</v>
      </c>
      <c r="C1116" s="1" t="s">
        <v>2136</v>
      </c>
      <c r="E1116">
        <f t="shared" si="17"/>
        <v>0</v>
      </c>
    </row>
    <row r="1117" spans="1:5">
      <c r="A1117" s="1">
        <f>IF(C1117="","",COUNTA(C$4:C1117))</f>
        <v>1106</v>
      </c>
      <c r="B1117" s="1" t="s">
        <v>2137</v>
      </c>
      <c r="C1117" s="1" t="s">
        <v>2138</v>
      </c>
      <c r="E1117">
        <f t="shared" si="17"/>
        <v>0</v>
      </c>
    </row>
    <row r="1118" spans="1:5">
      <c r="A1118" s="1">
        <f>IF(C1118="","",COUNTA(C$4:C1118))</f>
        <v>1107</v>
      </c>
      <c r="B1118" s="1" t="s">
        <v>2139</v>
      </c>
      <c r="C1118" s="1" t="s">
        <v>2140</v>
      </c>
      <c r="E1118">
        <f t="shared" si="17"/>
        <v>0</v>
      </c>
    </row>
    <row r="1119" spans="1:5">
      <c r="A1119" s="1">
        <f>IF(C1119="","",COUNTA(C$4:C1119))</f>
        <v>1108</v>
      </c>
      <c r="B1119" s="1" t="s">
        <v>2141</v>
      </c>
      <c r="C1119" s="1" t="s">
        <v>2142</v>
      </c>
      <c r="E1119">
        <f t="shared" si="17"/>
        <v>0</v>
      </c>
    </row>
    <row r="1120" spans="1:5">
      <c r="A1120" s="1">
        <f>IF(C1120="","",COUNTA(C$4:C1120))</f>
        <v>1109</v>
      </c>
      <c r="B1120" s="1" t="s">
        <v>2143</v>
      </c>
      <c r="C1120" s="1" t="s">
        <v>2144</v>
      </c>
      <c r="E1120">
        <f t="shared" si="17"/>
        <v>0</v>
      </c>
    </row>
    <row r="1121" spans="1:5">
      <c r="A1121" s="1">
        <f>IF(C1121="","",COUNTA(C$4:C1121))</f>
        <v>1110</v>
      </c>
      <c r="B1121" s="1" t="s">
        <v>2145</v>
      </c>
      <c r="C1121" s="1" t="s">
        <v>2146</v>
      </c>
      <c r="E1121">
        <f t="shared" si="17"/>
        <v>0</v>
      </c>
    </row>
    <row r="1122" spans="1:5">
      <c r="A1122" s="1">
        <f>IF(C1122="","",COUNTA(C$4:C1122))</f>
        <v>1111</v>
      </c>
      <c r="B1122" s="1" t="s">
        <v>2147</v>
      </c>
      <c r="C1122" s="1" t="s">
        <v>2148</v>
      </c>
      <c r="E1122">
        <f t="shared" si="17"/>
        <v>0</v>
      </c>
    </row>
    <row r="1123" spans="1:5">
      <c r="A1123" s="1">
        <f>IF(C1123="","",COUNTA(C$4:C1123))</f>
        <v>1112</v>
      </c>
      <c r="B1123" s="1" t="s">
        <v>341</v>
      </c>
      <c r="C1123" s="1" t="s">
        <v>2149</v>
      </c>
      <c r="E1123">
        <f t="shared" si="17"/>
        <v>0</v>
      </c>
    </row>
    <row r="1124" spans="1:5">
      <c r="A1124" s="1">
        <f>IF(C1124="","",COUNTA(C$4:C1124))</f>
        <v>1113</v>
      </c>
      <c r="B1124" s="1" t="s">
        <v>2150</v>
      </c>
      <c r="C1124" s="1" t="s">
        <v>2151</v>
      </c>
      <c r="E1124">
        <f t="shared" si="17"/>
        <v>0</v>
      </c>
    </row>
    <row r="1125" spans="1:5">
      <c r="A1125" s="1">
        <f>IF(C1125="","",COUNTA(C$4:C1125))</f>
        <v>1114</v>
      </c>
      <c r="B1125" s="1" t="s">
        <v>2152</v>
      </c>
      <c r="C1125" s="1" t="s">
        <v>2153</v>
      </c>
      <c r="E1125">
        <f t="shared" si="17"/>
        <v>0</v>
      </c>
    </row>
    <row r="1126" spans="1:5">
      <c r="A1126" s="1">
        <f>IF(C1126="","",COUNTA(C$4:C1126))</f>
        <v>1115</v>
      </c>
      <c r="B1126" s="1" t="s">
        <v>2154</v>
      </c>
      <c r="C1126" s="1" t="s">
        <v>2155</v>
      </c>
      <c r="E1126">
        <f t="shared" si="17"/>
        <v>0</v>
      </c>
    </row>
    <row r="1127" spans="1:5">
      <c r="A1127" s="1">
        <f>IF(C1127="","",COUNTA(C$4:C1127))</f>
        <v>1116</v>
      </c>
      <c r="B1127" s="1" t="s">
        <v>2156</v>
      </c>
      <c r="C1127" s="1" t="s">
        <v>2157</v>
      </c>
      <c r="E1127">
        <f t="shared" si="17"/>
        <v>0</v>
      </c>
    </row>
    <row r="1128" spans="1:5">
      <c r="A1128" s="1">
        <f>IF(C1128="","",COUNTA(C$4:C1128))</f>
        <v>1117</v>
      </c>
      <c r="B1128" s="1" t="s">
        <v>2158</v>
      </c>
      <c r="C1128" s="1" t="s">
        <v>2159</v>
      </c>
      <c r="E1128">
        <f t="shared" si="17"/>
        <v>0</v>
      </c>
    </row>
    <row r="1129" spans="1:5">
      <c r="A1129" s="1">
        <f>IF(C1129="","",COUNTA(C$4:C1129))</f>
        <v>1118</v>
      </c>
      <c r="B1129" s="1" t="s">
        <v>2160</v>
      </c>
      <c r="C1129" s="1" t="s">
        <v>2161</v>
      </c>
      <c r="E1129">
        <f t="shared" si="17"/>
        <v>0</v>
      </c>
    </row>
    <row r="1130" spans="1:5">
      <c r="A1130" s="1">
        <f>IF(C1130="","",COUNTA(C$4:C1130))</f>
        <v>1119</v>
      </c>
      <c r="B1130" s="1" t="s">
        <v>2162</v>
      </c>
      <c r="C1130" s="1" t="s">
        <v>2163</v>
      </c>
      <c r="E1130">
        <f t="shared" si="17"/>
        <v>0</v>
      </c>
    </row>
    <row r="1131" spans="1:5">
      <c r="A1131" s="1">
        <f>IF(C1131="","",COUNTA(C$4:C1131))</f>
        <v>1120</v>
      </c>
      <c r="B1131" s="1" t="s">
        <v>2164</v>
      </c>
      <c r="C1131" s="1" t="s">
        <v>2165</v>
      </c>
      <c r="E1131">
        <f t="shared" si="17"/>
        <v>0</v>
      </c>
    </row>
    <row r="1132" spans="1:5">
      <c r="A1132" s="1">
        <f>IF(C1132="","",COUNTA(C$4:C1132))</f>
        <v>1121</v>
      </c>
      <c r="B1132" s="1" t="s">
        <v>2166</v>
      </c>
      <c r="C1132" s="1" t="s">
        <v>2167</v>
      </c>
      <c r="E1132">
        <f t="shared" si="17"/>
        <v>0</v>
      </c>
    </row>
    <row r="1133" spans="1:5">
      <c r="A1133" s="1">
        <f>IF(C1133="","",COUNTA(C$4:C1133))</f>
        <v>1122</v>
      </c>
      <c r="B1133" s="1" t="s">
        <v>2168</v>
      </c>
      <c r="C1133" s="1" t="s">
        <v>2169</v>
      </c>
      <c r="E1133">
        <f t="shared" si="17"/>
        <v>0</v>
      </c>
    </row>
    <row r="1134" spans="1:5">
      <c r="A1134" s="1">
        <f>IF(C1134="","",COUNTA(C$4:C1134))</f>
        <v>1123</v>
      </c>
      <c r="B1134" s="1" t="s">
        <v>2170</v>
      </c>
      <c r="C1134" s="1" t="s">
        <v>2171</v>
      </c>
      <c r="E1134">
        <f t="shared" si="17"/>
        <v>0</v>
      </c>
    </row>
    <row r="1135" spans="1:5">
      <c r="A1135" s="1">
        <f>IF(C1135="","",COUNTA(C$4:C1135))</f>
        <v>1124</v>
      </c>
      <c r="B1135" s="1" t="s">
        <v>2172</v>
      </c>
      <c r="C1135" s="1" t="s">
        <v>2173</v>
      </c>
      <c r="E1135">
        <f t="shared" si="17"/>
        <v>0</v>
      </c>
    </row>
    <row r="1136" spans="1:5">
      <c r="A1136" s="1">
        <f>IF(C1136="","",COUNTA(C$4:C1136))</f>
        <v>1125</v>
      </c>
      <c r="B1136" s="1" t="s">
        <v>2174</v>
      </c>
      <c r="C1136" s="1" t="s">
        <v>2175</v>
      </c>
      <c r="E1136">
        <f t="shared" si="17"/>
        <v>0</v>
      </c>
    </row>
    <row r="1137" spans="1:5">
      <c r="A1137" s="1">
        <f>IF(C1137="","",COUNTA(C$4:C1137))</f>
        <v>1126</v>
      </c>
      <c r="B1137" s="1" t="s">
        <v>2176</v>
      </c>
      <c r="C1137" s="1" t="s">
        <v>2177</v>
      </c>
      <c r="E1137">
        <f t="shared" si="17"/>
        <v>0</v>
      </c>
    </row>
    <row r="1138" spans="1:5">
      <c r="A1138" s="1">
        <f>IF(C1138="","",COUNTA(C$4:C1138))</f>
        <v>1127</v>
      </c>
      <c r="B1138" s="1" t="s">
        <v>2178</v>
      </c>
      <c r="C1138" s="1" t="s">
        <v>2179</v>
      </c>
      <c r="E1138">
        <f t="shared" si="17"/>
        <v>0</v>
      </c>
    </row>
    <row r="1139" spans="1:5">
      <c r="A1139" s="1">
        <f>IF(C1139="","",COUNTA(C$4:C1139))</f>
        <v>1128</v>
      </c>
      <c r="B1139" s="1" t="s">
        <v>2180</v>
      </c>
      <c r="C1139" s="1" t="s">
        <v>2181</v>
      </c>
      <c r="E1139">
        <f t="shared" si="17"/>
        <v>0</v>
      </c>
    </row>
    <row r="1140" spans="1:5">
      <c r="A1140" s="1">
        <f>IF(C1140="","",COUNTA(C$4:C1140))</f>
        <v>1129</v>
      </c>
      <c r="B1140" s="1" t="s">
        <v>2182</v>
      </c>
      <c r="C1140" s="1" t="s">
        <v>2183</v>
      </c>
      <c r="E1140">
        <f t="shared" si="17"/>
        <v>0</v>
      </c>
    </row>
    <row r="1141" spans="1:5">
      <c r="A1141" s="1">
        <f>IF(C1141="","",COUNTA(C$4:C1141))</f>
        <v>1130</v>
      </c>
      <c r="B1141" s="1" t="s">
        <v>2184</v>
      </c>
      <c r="C1141" s="1" t="s">
        <v>2185</v>
      </c>
      <c r="E1141">
        <f t="shared" si="17"/>
        <v>0</v>
      </c>
    </row>
    <row r="1142" spans="1:5">
      <c r="A1142" s="1">
        <f>IF(C1142="","",COUNTA(C$4:C1142))</f>
        <v>1131</v>
      </c>
      <c r="B1142" s="1" t="s">
        <v>2186</v>
      </c>
      <c r="C1142" s="1" t="s">
        <v>2187</v>
      </c>
      <c r="E1142">
        <f t="shared" si="17"/>
        <v>0</v>
      </c>
    </row>
    <row r="1143" spans="1:5">
      <c r="A1143" s="1">
        <f>IF(C1143="","",COUNTA(C$4:C1143))</f>
        <v>1132</v>
      </c>
      <c r="B1143" s="1" t="s">
        <v>2188</v>
      </c>
      <c r="C1143" s="1" t="s">
        <v>2189</v>
      </c>
      <c r="E1143">
        <f t="shared" si="17"/>
        <v>0</v>
      </c>
    </row>
    <row r="1144" spans="1:5">
      <c r="A1144" s="1">
        <f>IF(C1144="","",COUNTA(C$4:C1144))</f>
        <v>1133</v>
      </c>
      <c r="B1144" s="1" t="s">
        <v>2190</v>
      </c>
      <c r="C1144" s="1" t="s">
        <v>2191</v>
      </c>
      <c r="E1144">
        <f t="shared" si="17"/>
        <v>0</v>
      </c>
    </row>
    <row r="1145" spans="1:5">
      <c r="A1145" s="1">
        <f>IF(C1145="","",COUNTA(C$4:C1145))</f>
        <v>1134</v>
      </c>
      <c r="B1145" s="1" t="s">
        <v>2192</v>
      </c>
      <c r="C1145" s="1" t="s">
        <v>2193</v>
      </c>
      <c r="E1145">
        <f t="shared" si="17"/>
        <v>0</v>
      </c>
    </row>
    <row r="1146" spans="1:5">
      <c r="A1146" s="1">
        <f>IF(C1146="","",COUNTA(C$4:C1146))</f>
        <v>1135</v>
      </c>
      <c r="B1146" s="1" t="s">
        <v>1242</v>
      </c>
      <c r="C1146" s="1" t="s">
        <v>2194</v>
      </c>
      <c r="E1146">
        <f t="shared" si="17"/>
        <v>0</v>
      </c>
    </row>
    <row r="1147" spans="1:5">
      <c r="A1147" s="12" t="s">
        <v>2195</v>
      </c>
      <c r="B1147" s="13"/>
      <c r="C1147" s="14"/>
      <c r="D1147" s="9"/>
      <c r="E1147">
        <f t="shared" si="17"/>
        <v>1</v>
      </c>
    </row>
    <row r="1148" spans="1:5">
      <c r="A1148" s="1">
        <f>IF(C1148="","",COUNTA(C$4:C1148))</f>
        <v>1136</v>
      </c>
      <c r="B1148" s="1" t="s">
        <v>2196</v>
      </c>
      <c r="C1148" s="1" t="s">
        <v>2197</v>
      </c>
      <c r="E1148">
        <f t="shared" si="17"/>
        <v>0</v>
      </c>
    </row>
    <row r="1149" spans="1:5">
      <c r="A1149" s="1">
        <f>IF(C1149="","",COUNTA(C$4:C1149))</f>
        <v>1137</v>
      </c>
      <c r="B1149" s="1" t="s">
        <v>2198</v>
      </c>
      <c r="C1149" s="1" t="s">
        <v>2199</v>
      </c>
      <c r="E1149">
        <f t="shared" si="17"/>
        <v>0</v>
      </c>
    </row>
    <row r="1150" spans="1:5">
      <c r="A1150" s="1">
        <f>IF(C1150="","",COUNTA(C$4:C1150))</f>
        <v>1138</v>
      </c>
      <c r="B1150" s="1" t="s">
        <v>2200</v>
      </c>
      <c r="C1150" s="1" t="s">
        <v>2201</v>
      </c>
      <c r="E1150">
        <f t="shared" si="17"/>
        <v>0</v>
      </c>
    </row>
    <row r="1151" spans="1:5">
      <c r="A1151" s="1">
        <f>IF(C1151="","",COUNTA(C$4:C1151))</f>
        <v>1139</v>
      </c>
      <c r="B1151" s="1" t="s">
        <v>2202</v>
      </c>
      <c r="C1151" s="1" t="s">
        <v>2203</v>
      </c>
      <c r="E1151">
        <f t="shared" si="17"/>
        <v>0</v>
      </c>
    </row>
    <row r="1152" spans="1:5">
      <c r="A1152" s="1">
        <f>IF(C1152="","",COUNTA(C$4:C1152))</f>
        <v>1140</v>
      </c>
      <c r="B1152" s="1" t="s">
        <v>2204</v>
      </c>
      <c r="C1152" s="1" t="s">
        <v>2205</v>
      </c>
      <c r="E1152">
        <f t="shared" si="17"/>
        <v>0</v>
      </c>
    </row>
    <row r="1153" spans="1:5">
      <c r="A1153" s="1">
        <f>IF(C1153="","",COUNTA(C$4:C1153))</f>
        <v>1141</v>
      </c>
      <c r="B1153" s="1" t="s">
        <v>2206</v>
      </c>
      <c r="C1153" s="1" t="s">
        <v>2207</v>
      </c>
      <c r="E1153">
        <f t="shared" si="17"/>
        <v>0</v>
      </c>
    </row>
    <row r="1154" spans="1:5">
      <c r="A1154" s="1">
        <f>IF(C1154="","",COUNTA(C$4:C1154))</f>
        <v>1142</v>
      </c>
      <c r="B1154" s="1" t="s">
        <v>2208</v>
      </c>
      <c r="C1154" s="1" t="s">
        <v>2209</v>
      </c>
      <c r="E1154">
        <f t="shared" si="17"/>
        <v>0</v>
      </c>
    </row>
    <row r="1155" spans="1:5">
      <c r="A1155" s="1">
        <f>IF(C1155="","",COUNTA(C$4:C1155))</f>
        <v>1143</v>
      </c>
      <c r="B1155" s="1" t="s">
        <v>2210</v>
      </c>
      <c r="C1155" s="1" t="s">
        <v>2211</v>
      </c>
      <c r="E1155">
        <f t="shared" si="17"/>
        <v>0</v>
      </c>
    </row>
    <row r="1156" spans="1:5">
      <c r="A1156" s="1">
        <f>IF(C1156="","",COUNTA(C$4:C1156))</f>
        <v>1144</v>
      </c>
      <c r="B1156" s="1" t="s">
        <v>2212</v>
      </c>
      <c r="C1156" s="1" t="s">
        <v>2213</v>
      </c>
      <c r="E1156">
        <f t="shared" si="17"/>
        <v>0</v>
      </c>
    </row>
    <row r="1157" spans="1:5">
      <c r="A1157" s="1">
        <f>IF(C1157="","",COUNTA(C$4:C1157))</f>
        <v>1145</v>
      </c>
      <c r="B1157" s="1" t="s">
        <v>2214</v>
      </c>
      <c r="C1157" s="1" t="s">
        <v>2215</v>
      </c>
      <c r="E1157">
        <f t="shared" ref="E1157:E1220" si="18">IF(C1157=D1157,1,0)</f>
        <v>0</v>
      </c>
    </row>
    <row r="1158" spans="1:5">
      <c r="A1158" s="1">
        <f>IF(C1158="","",COUNTA(C$4:C1158))</f>
        <v>1146</v>
      </c>
      <c r="B1158" s="1" t="s">
        <v>2216</v>
      </c>
      <c r="C1158" s="1" t="s">
        <v>2217</v>
      </c>
      <c r="E1158">
        <f t="shared" si="18"/>
        <v>0</v>
      </c>
    </row>
    <row r="1159" spans="1:5">
      <c r="A1159" s="1">
        <f>IF(C1159="","",COUNTA(C$4:C1159))</f>
        <v>1147</v>
      </c>
      <c r="B1159" s="1" t="s">
        <v>2218</v>
      </c>
      <c r="C1159" s="1" t="s">
        <v>2219</v>
      </c>
      <c r="E1159">
        <f t="shared" si="18"/>
        <v>0</v>
      </c>
    </row>
    <row r="1160" spans="1:5">
      <c r="A1160" s="1">
        <f>IF(C1160="","",COUNTA(C$4:C1160))</f>
        <v>1148</v>
      </c>
      <c r="B1160" s="1" t="s">
        <v>2220</v>
      </c>
      <c r="C1160" s="1" t="s">
        <v>2221</v>
      </c>
      <c r="E1160">
        <f t="shared" si="18"/>
        <v>0</v>
      </c>
    </row>
    <row r="1161" spans="1:5">
      <c r="A1161" s="1">
        <f>IF(C1161="","",COUNTA(C$4:C1161))</f>
        <v>1149</v>
      </c>
      <c r="B1161" s="1" t="s">
        <v>2222</v>
      </c>
      <c r="C1161" s="1" t="s">
        <v>2223</v>
      </c>
      <c r="E1161">
        <f t="shared" si="18"/>
        <v>0</v>
      </c>
    </row>
    <row r="1162" spans="1:5">
      <c r="A1162" s="1">
        <f>IF(C1162="","",COUNTA(C$4:C1162))</f>
        <v>1150</v>
      </c>
      <c r="B1162" s="1" t="s">
        <v>2224</v>
      </c>
      <c r="C1162" s="1" t="s">
        <v>2225</v>
      </c>
      <c r="E1162">
        <f t="shared" si="18"/>
        <v>0</v>
      </c>
    </row>
    <row r="1163" spans="1:5">
      <c r="A1163" s="1">
        <f>IF(C1163="","",COUNTA(C$4:C1163))</f>
        <v>1151</v>
      </c>
      <c r="B1163" s="1" t="s">
        <v>2226</v>
      </c>
      <c r="C1163" s="1" t="s">
        <v>2227</v>
      </c>
      <c r="E1163">
        <f t="shared" si="18"/>
        <v>0</v>
      </c>
    </row>
    <row r="1164" spans="1:5">
      <c r="A1164" s="1">
        <f>IF(C1164="","",COUNTA(C$4:C1164))</f>
        <v>1152</v>
      </c>
      <c r="B1164" s="1" t="s">
        <v>2228</v>
      </c>
      <c r="C1164" s="1" t="s">
        <v>2229</v>
      </c>
      <c r="E1164">
        <f t="shared" si="18"/>
        <v>0</v>
      </c>
    </row>
    <row r="1165" spans="1:5">
      <c r="A1165" s="1">
        <f>IF(C1165="","",COUNTA(C$4:C1165))</f>
        <v>1153</v>
      </c>
      <c r="B1165" s="1" t="s">
        <v>2230</v>
      </c>
      <c r="C1165" s="1" t="s">
        <v>2231</v>
      </c>
      <c r="E1165">
        <f t="shared" si="18"/>
        <v>0</v>
      </c>
    </row>
    <row r="1166" spans="1:5">
      <c r="A1166" s="1">
        <f>IF(C1166="","",COUNTA(C$4:C1166))</f>
        <v>1154</v>
      </c>
      <c r="B1166" s="1" t="s">
        <v>2232</v>
      </c>
      <c r="C1166" s="1" t="s">
        <v>2233</v>
      </c>
      <c r="E1166">
        <f t="shared" si="18"/>
        <v>0</v>
      </c>
    </row>
    <row r="1167" spans="1:5">
      <c r="A1167" s="1">
        <f>IF(C1167="","",COUNTA(C$4:C1167))</f>
        <v>1155</v>
      </c>
      <c r="B1167" s="1" t="s">
        <v>2234</v>
      </c>
      <c r="C1167" s="1" t="s">
        <v>2235</v>
      </c>
      <c r="E1167">
        <f t="shared" si="18"/>
        <v>0</v>
      </c>
    </row>
    <row r="1168" spans="1:5">
      <c r="A1168" s="1">
        <f>IF(C1168="","",COUNTA(C$4:C1168))</f>
        <v>1156</v>
      </c>
      <c r="B1168" s="1" t="s">
        <v>2236</v>
      </c>
      <c r="C1168" s="1" t="s">
        <v>2237</v>
      </c>
      <c r="E1168">
        <f t="shared" si="18"/>
        <v>0</v>
      </c>
    </row>
    <row r="1169" spans="1:5">
      <c r="A1169" s="1">
        <f>IF(C1169="","",COUNTA(C$4:C1169))</f>
        <v>1157</v>
      </c>
      <c r="B1169" s="1" t="s">
        <v>2238</v>
      </c>
      <c r="C1169" s="1" t="s">
        <v>2239</v>
      </c>
      <c r="E1169">
        <f t="shared" si="18"/>
        <v>0</v>
      </c>
    </row>
    <row r="1170" spans="1:5">
      <c r="A1170" s="1">
        <f>IF(C1170="","",COUNTA(C$4:C1170))</f>
        <v>1158</v>
      </c>
      <c r="B1170" s="1" t="s">
        <v>2240</v>
      </c>
      <c r="C1170" s="1" t="s">
        <v>2241</v>
      </c>
      <c r="E1170">
        <f t="shared" si="18"/>
        <v>0</v>
      </c>
    </row>
    <row r="1171" spans="1:5">
      <c r="A1171" s="1">
        <f>IF(C1171="","",COUNTA(C$4:C1171))</f>
        <v>1159</v>
      </c>
      <c r="B1171" s="1" t="s">
        <v>2242</v>
      </c>
      <c r="C1171" s="1" t="s">
        <v>2243</v>
      </c>
      <c r="E1171">
        <f t="shared" si="18"/>
        <v>0</v>
      </c>
    </row>
    <row r="1172" spans="1:5">
      <c r="A1172" s="1">
        <f>IF(C1172="","",COUNTA(C$4:C1172))</f>
        <v>1160</v>
      </c>
      <c r="B1172" s="1" t="s">
        <v>2244</v>
      </c>
      <c r="C1172" s="1" t="s">
        <v>2245</v>
      </c>
      <c r="E1172">
        <f t="shared" si="18"/>
        <v>0</v>
      </c>
    </row>
    <row r="1173" spans="1:5">
      <c r="A1173" s="1">
        <f>IF(C1173="","",COUNTA(C$4:C1173))</f>
        <v>1161</v>
      </c>
      <c r="B1173" s="1" t="s">
        <v>2246</v>
      </c>
      <c r="C1173" s="1" t="s">
        <v>2247</v>
      </c>
      <c r="E1173">
        <f t="shared" si="18"/>
        <v>0</v>
      </c>
    </row>
    <row r="1174" spans="1:5">
      <c r="A1174" s="1">
        <f>IF(C1174="","",COUNTA(C$4:C1174))</f>
        <v>1162</v>
      </c>
      <c r="B1174" s="1" t="s">
        <v>2248</v>
      </c>
      <c r="C1174" s="1" t="s">
        <v>2249</v>
      </c>
      <c r="E1174">
        <f t="shared" si="18"/>
        <v>0</v>
      </c>
    </row>
    <row r="1175" spans="1:5">
      <c r="A1175" s="1">
        <f>IF(C1175="","",COUNTA(C$4:C1175))</f>
        <v>1163</v>
      </c>
      <c r="B1175" s="1" t="s">
        <v>2250</v>
      </c>
      <c r="C1175" s="1" t="s">
        <v>2251</v>
      </c>
      <c r="E1175">
        <f t="shared" si="18"/>
        <v>0</v>
      </c>
    </row>
    <row r="1176" spans="1:5">
      <c r="A1176" s="1">
        <f>IF(C1176="","",COUNTA(C$4:C1176))</f>
        <v>1164</v>
      </c>
      <c r="B1176" s="1" t="s">
        <v>2252</v>
      </c>
      <c r="C1176" s="1" t="s">
        <v>2253</v>
      </c>
      <c r="E1176">
        <f t="shared" si="18"/>
        <v>0</v>
      </c>
    </row>
    <row r="1177" spans="1:5">
      <c r="A1177" s="1">
        <f>IF(C1177="","",COUNTA(C$4:C1177))</f>
        <v>1165</v>
      </c>
      <c r="B1177" s="1" t="s">
        <v>2254</v>
      </c>
      <c r="C1177" s="1" t="s">
        <v>2255</v>
      </c>
      <c r="E1177">
        <f t="shared" si="18"/>
        <v>0</v>
      </c>
    </row>
    <row r="1178" spans="1:5">
      <c r="A1178" s="1">
        <f>IF(C1178="","",COUNTA(C$4:C1178))</f>
        <v>1166</v>
      </c>
      <c r="B1178" s="1" t="s">
        <v>2256</v>
      </c>
      <c r="C1178" s="1" t="s">
        <v>2257</v>
      </c>
      <c r="E1178">
        <f t="shared" si="18"/>
        <v>0</v>
      </c>
    </row>
    <row r="1179" spans="1:5">
      <c r="A1179" s="1">
        <f>IF(C1179="","",COUNTA(C$4:C1179))</f>
        <v>1167</v>
      </c>
      <c r="B1179" s="1" t="s">
        <v>2258</v>
      </c>
      <c r="C1179" s="1" t="s">
        <v>2259</v>
      </c>
      <c r="E1179">
        <f t="shared" si="18"/>
        <v>0</v>
      </c>
    </row>
    <row r="1180" spans="1:5">
      <c r="A1180" s="1">
        <f>IF(C1180="","",COUNTA(C$4:C1180))</f>
        <v>1168</v>
      </c>
      <c r="B1180" s="1" t="s">
        <v>2260</v>
      </c>
      <c r="C1180" s="1" t="s">
        <v>2261</v>
      </c>
      <c r="E1180">
        <f t="shared" si="18"/>
        <v>0</v>
      </c>
    </row>
    <row r="1181" spans="1:5">
      <c r="A1181" s="1">
        <f>IF(C1181="","",COUNTA(C$4:C1181))</f>
        <v>1169</v>
      </c>
      <c r="B1181" s="1" t="s">
        <v>2262</v>
      </c>
      <c r="C1181" s="1" t="s">
        <v>2263</v>
      </c>
      <c r="E1181">
        <f t="shared" si="18"/>
        <v>0</v>
      </c>
    </row>
    <row r="1182" spans="1:5">
      <c r="A1182" s="1">
        <f>IF(C1182="","",COUNTA(C$4:C1182))</f>
        <v>1170</v>
      </c>
      <c r="B1182" s="1" t="s">
        <v>2264</v>
      </c>
      <c r="C1182" s="1" t="s">
        <v>2265</v>
      </c>
      <c r="E1182">
        <f t="shared" si="18"/>
        <v>0</v>
      </c>
    </row>
    <row r="1183" spans="1:5">
      <c r="A1183" s="1">
        <f>IF(C1183="","",COUNTA(C$4:C1183))</f>
        <v>1171</v>
      </c>
      <c r="B1183" s="1" t="s">
        <v>2266</v>
      </c>
      <c r="C1183" s="1" t="s">
        <v>2267</v>
      </c>
      <c r="E1183">
        <f t="shared" si="18"/>
        <v>0</v>
      </c>
    </row>
    <row r="1184" spans="1:5">
      <c r="A1184" s="1">
        <f>IF(C1184="","",COUNTA(C$4:C1184))</f>
        <v>1172</v>
      </c>
      <c r="B1184" s="1" t="s">
        <v>2268</v>
      </c>
      <c r="C1184" s="1" t="s">
        <v>2269</v>
      </c>
      <c r="E1184">
        <f t="shared" si="18"/>
        <v>0</v>
      </c>
    </row>
    <row r="1185" spans="1:5">
      <c r="A1185" s="1">
        <f>IF(C1185="","",COUNTA(C$4:C1185))</f>
        <v>1173</v>
      </c>
      <c r="B1185" s="1" t="s">
        <v>2270</v>
      </c>
      <c r="C1185" s="1" t="s">
        <v>2271</v>
      </c>
      <c r="E1185">
        <f t="shared" si="18"/>
        <v>0</v>
      </c>
    </row>
    <row r="1186" spans="1:5">
      <c r="A1186" s="1">
        <f>IF(C1186="","",COUNTA(C$4:C1186))</f>
        <v>1174</v>
      </c>
      <c r="B1186" s="1" t="s">
        <v>2272</v>
      </c>
      <c r="C1186" s="1" t="s">
        <v>2273</v>
      </c>
      <c r="E1186">
        <f t="shared" si="18"/>
        <v>0</v>
      </c>
    </row>
    <row r="1187" spans="1:5">
      <c r="A1187" s="1">
        <f>IF(C1187="","",COUNTA(C$4:C1187))</f>
        <v>1175</v>
      </c>
      <c r="B1187" s="1" t="s">
        <v>2274</v>
      </c>
      <c r="C1187" s="1" t="s">
        <v>2275</v>
      </c>
      <c r="E1187">
        <f t="shared" si="18"/>
        <v>0</v>
      </c>
    </row>
    <row r="1188" spans="1:5">
      <c r="A1188" s="1">
        <f>IF(C1188="","",COUNTA(C$4:C1188))</f>
        <v>1176</v>
      </c>
      <c r="B1188" s="1" t="s">
        <v>2276</v>
      </c>
      <c r="C1188" s="1" t="s">
        <v>2277</v>
      </c>
      <c r="E1188">
        <f t="shared" si="18"/>
        <v>0</v>
      </c>
    </row>
    <row r="1189" spans="1:5">
      <c r="A1189" s="1">
        <f>IF(C1189="","",COUNTA(C$4:C1189))</f>
        <v>1177</v>
      </c>
      <c r="B1189" s="1" t="s">
        <v>2278</v>
      </c>
      <c r="C1189" s="1" t="s">
        <v>2279</v>
      </c>
      <c r="E1189">
        <f t="shared" si="18"/>
        <v>0</v>
      </c>
    </row>
    <row r="1190" spans="1:5">
      <c r="A1190" s="1">
        <f>IF(C1190="","",COUNTA(C$4:C1190))</f>
        <v>1178</v>
      </c>
      <c r="B1190" s="1" t="s">
        <v>2280</v>
      </c>
      <c r="C1190" s="1" t="s">
        <v>2281</v>
      </c>
      <c r="E1190">
        <f t="shared" si="18"/>
        <v>0</v>
      </c>
    </row>
    <row r="1191" spans="1:5">
      <c r="A1191" s="1">
        <f>IF(C1191="","",COUNTA(C$4:C1191))</f>
        <v>1179</v>
      </c>
      <c r="B1191" s="1" t="s">
        <v>2282</v>
      </c>
      <c r="C1191" s="1" t="s">
        <v>2283</v>
      </c>
      <c r="E1191">
        <f t="shared" si="18"/>
        <v>0</v>
      </c>
    </row>
    <row r="1192" spans="1:5">
      <c r="A1192" s="1">
        <f>IF(C1192="","",COUNTA(C$4:C1192))</f>
        <v>1180</v>
      </c>
      <c r="B1192" s="1" t="s">
        <v>2284</v>
      </c>
      <c r="C1192" s="1" t="s">
        <v>2285</v>
      </c>
      <c r="E1192">
        <f t="shared" si="18"/>
        <v>0</v>
      </c>
    </row>
    <row r="1193" spans="1:5">
      <c r="A1193" s="1">
        <f>IF(C1193="","",COUNTA(C$4:C1193))</f>
        <v>1181</v>
      </c>
      <c r="B1193" s="1" t="s">
        <v>2286</v>
      </c>
      <c r="C1193" s="1" t="s">
        <v>2287</v>
      </c>
      <c r="E1193">
        <f t="shared" si="18"/>
        <v>0</v>
      </c>
    </row>
    <row r="1194" spans="1:5">
      <c r="A1194" s="1">
        <f>IF(C1194="","",COUNTA(C$4:C1194))</f>
        <v>1182</v>
      </c>
      <c r="B1194" s="1" t="s">
        <v>2288</v>
      </c>
      <c r="C1194" s="1" t="s">
        <v>2289</v>
      </c>
      <c r="E1194">
        <f t="shared" si="18"/>
        <v>0</v>
      </c>
    </row>
    <row r="1195" spans="1:5">
      <c r="A1195" s="1">
        <f>IF(C1195="","",COUNTA(C$4:C1195))</f>
        <v>1183</v>
      </c>
      <c r="B1195" s="1" t="s">
        <v>2290</v>
      </c>
      <c r="C1195" s="1" t="s">
        <v>2291</v>
      </c>
      <c r="E1195">
        <f t="shared" si="18"/>
        <v>0</v>
      </c>
    </row>
    <row r="1196" spans="1:5">
      <c r="A1196" s="1">
        <f>IF(C1196="","",COUNTA(C$4:C1196))</f>
        <v>1184</v>
      </c>
      <c r="B1196" s="1" t="s">
        <v>2292</v>
      </c>
      <c r="C1196" s="1" t="s">
        <v>2293</v>
      </c>
      <c r="E1196">
        <f t="shared" si="18"/>
        <v>0</v>
      </c>
    </row>
    <row r="1197" spans="1:5">
      <c r="A1197" s="1">
        <f>IF(C1197="","",COUNTA(C$4:C1197))</f>
        <v>1185</v>
      </c>
      <c r="B1197" s="1" t="s">
        <v>2294</v>
      </c>
      <c r="C1197" s="1" t="s">
        <v>2295</v>
      </c>
      <c r="E1197">
        <f t="shared" si="18"/>
        <v>0</v>
      </c>
    </row>
    <row r="1198" spans="1:5">
      <c r="A1198" s="1">
        <f>IF(C1198="","",COUNTA(C$4:C1198))</f>
        <v>1186</v>
      </c>
      <c r="B1198" s="1" t="s">
        <v>2296</v>
      </c>
      <c r="C1198" s="1" t="s">
        <v>2297</v>
      </c>
      <c r="E1198">
        <f t="shared" si="18"/>
        <v>0</v>
      </c>
    </row>
    <row r="1199" spans="1:5">
      <c r="A1199" s="1">
        <f>IF(C1199="","",COUNTA(C$4:C1199))</f>
        <v>1187</v>
      </c>
      <c r="B1199" s="1" t="s">
        <v>2298</v>
      </c>
      <c r="C1199" s="1" t="s">
        <v>2299</v>
      </c>
      <c r="E1199">
        <f t="shared" si="18"/>
        <v>0</v>
      </c>
    </row>
    <row r="1200" spans="1:5">
      <c r="A1200" s="1">
        <f>IF(C1200="","",COUNTA(C$4:C1200))</f>
        <v>1188</v>
      </c>
      <c r="B1200" s="1" t="s">
        <v>2300</v>
      </c>
      <c r="C1200" s="1" t="s">
        <v>2301</v>
      </c>
      <c r="E1200">
        <f t="shared" si="18"/>
        <v>0</v>
      </c>
    </row>
    <row r="1201" spans="1:5">
      <c r="A1201" s="1">
        <f>IF(C1201="","",COUNTA(C$4:C1201))</f>
        <v>1189</v>
      </c>
      <c r="B1201" s="1" t="s">
        <v>1291</v>
      </c>
      <c r="C1201" s="1" t="s">
        <v>2302</v>
      </c>
      <c r="E1201">
        <f t="shared" si="18"/>
        <v>0</v>
      </c>
    </row>
    <row r="1202" spans="1:5">
      <c r="A1202" s="1">
        <f>IF(C1202="","",COUNTA(C$4:C1202))</f>
        <v>1190</v>
      </c>
      <c r="B1202" s="1" t="s">
        <v>2303</v>
      </c>
      <c r="C1202" s="1" t="s">
        <v>2304</v>
      </c>
      <c r="E1202">
        <f t="shared" si="18"/>
        <v>0</v>
      </c>
    </row>
    <row r="1203" spans="1:5">
      <c r="A1203" s="1">
        <f>IF(C1203="","",COUNTA(C$4:C1203))</f>
        <v>1191</v>
      </c>
      <c r="B1203" s="1" t="s">
        <v>2305</v>
      </c>
      <c r="C1203" s="1" t="s">
        <v>2306</v>
      </c>
      <c r="E1203">
        <f t="shared" si="18"/>
        <v>0</v>
      </c>
    </row>
    <row r="1204" spans="1:5">
      <c r="A1204" s="1">
        <f>IF(C1204="","",COUNTA(C$4:C1204))</f>
        <v>1192</v>
      </c>
      <c r="B1204" s="1" t="s">
        <v>2307</v>
      </c>
      <c r="C1204" s="1" t="s">
        <v>2308</v>
      </c>
      <c r="E1204">
        <f t="shared" si="18"/>
        <v>0</v>
      </c>
    </row>
    <row r="1205" spans="1:5">
      <c r="A1205" s="1">
        <f>IF(C1205="","",COUNTA(C$4:C1205))</f>
        <v>1193</v>
      </c>
      <c r="B1205" s="1" t="s">
        <v>2309</v>
      </c>
      <c r="C1205" s="1" t="s">
        <v>2310</v>
      </c>
      <c r="E1205">
        <f t="shared" si="18"/>
        <v>0</v>
      </c>
    </row>
    <row r="1206" spans="1:5">
      <c r="A1206" s="1">
        <f>IF(C1206="","",COUNTA(C$4:C1206))</f>
        <v>1194</v>
      </c>
      <c r="B1206" s="1" t="s">
        <v>2311</v>
      </c>
      <c r="C1206" s="1" t="s">
        <v>2312</v>
      </c>
      <c r="E1206">
        <f t="shared" si="18"/>
        <v>0</v>
      </c>
    </row>
    <row r="1207" spans="1:5">
      <c r="A1207" s="1">
        <f>IF(C1207="","",COUNTA(C$4:C1207))</f>
        <v>1195</v>
      </c>
      <c r="B1207" s="1" t="s">
        <v>2313</v>
      </c>
      <c r="C1207" s="1" t="s">
        <v>2314</v>
      </c>
      <c r="E1207">
        <f t="shared" si="18"/>
        <v>0</v>
      </c>
    </row>
    <row r="1208" spans="1:5">
      <c r="A1208" s="1">
        <f>IF(C1208="","",COUNTA(C$4:C1208))</f>
        <v>1196</v>
      </c>
      <c r="B1208" s="1" t="s">
        <v>2315</v>
      </c>
      <c r="C1208" s="1" t="s">
        <v>2316</v>
      </c>
      <c r="E1208">
        <f t="shared" si="18"/>
        <v>0</v>
      </c>
    </row>
    <row r="1209" spans="1:5">
      <c r="A1209" s="1">
        <f>IF(C1209="","",COUNTA(C$4:C1209))</f>
        <v>1197</v>
      </c>
      <c r="B1209" s="1" t="s">
        <v>2317</v>
      </c>
      <c r="C1209" s="1" t="s">
        <v>2318</v>
      </c>
      <c r="E1209">
        <f t="shared" si="18"/>
        <v>0</v>
      </c>
    </row>
    <row r="1210" spans="1:5">
      <c r="A1210" s="1">
        <f>IF(C1210="","",COUNTA(C$4:C1210))</f>
        <v>1198</v>
      </c>
      <c r="B1210" s="1" t="s">
        <v>2319</v>
      </c>
      <c r="C1210" s="1" t="s">
        <v>2320</v>
      </c>
      <c r="E1210">
        <f t="shared" si="18"/>
        <v>0</v>
      </c>
    </row>
    <row r="1211" spans="1:5">
      <c r="A1211" s="1">
        <f>IF(C1211="","",COUNTA(C$4:C1211))</f>
        <v>1199</v>
      </c>
      <c r="B1211" s="1" t="s">
        <v>2321</v>
      </c>
      <c r="C1211" s="1" t="s">
        <v>461</v>
      </c>
      <c r="E1211">
        <f t="shared" si="18"/>
        <v>0</v>
      </c>
    </row>
    <row r="1212" spans="1:5">
      <c r="A1212" s="1">
        <f>IF(C1212="","",COUNTA(C$4:C1212))</f>
        <v>1200</v>
      </c>
      <c r="B1212" s="1" t="s">
        <v>2322</v>
      </c>
      <c r="C1212" s="1" t="s">
        <v>2323</v>
      </c>
      <c r="E1212">
        <f t="shared" si="18"/>
        <v>0</v>
      </c>
    </row>
    <row r="1213" spans="1:5">
      <c r="A1213" s="1">
        <f>IF(C1213="","",COUNTA(C$4:C1213))</f>
        <v>1201</v>
      </c>
      <c r="B1213" s="1" t="s">
        <v>2324</v>
      </c>
      <c r="C1213" s="1" t="s">
        <v>2325</v>
      </c>
      <c r="E1213">
        <f t="shared" si="18"/>
        <v>0</v>
      </c>
    </row>
    <row r="1214" spans="1:5">
      <c r="A1214" s="1">
        <f>IF(C1214="","",COUNTA(C$4:C1214))</f>
        <v>1202</v>
      </c>
      <c r="B1214" s="1" t="s">
        <v>2326</v>
      </c>
      <c r="C1214" s="1" t="s">
        <v>2327</v>
      </c>
      <c r="E1214">
        <f t="shared" si="18"/>
        <v>0</v>
      </c>
    </row>
    <row r="1215" spans="1:5">
      <c r="A1215" s="1">
        <f>IF(C1215="","",COUNTA(C$4:C1215))</f>
        <v>1203</v>
      </c>
      <c r="B1215" s="1" t="s">
        <v>2328</v>
      </c>
      <c r="C1215" s="1" t="s">
        <v>2329</v>
      </c>
      <c r="E1215">
        <f t="shared" si="18"/>
        <v>0</v>
      </c>
    </row>
    <row r="1216" spans="1:5">
      <c r="A1216" s="1">
        <f>IF(C1216="","",COUNTA(C$4:C1216))</f>
        <v>1204</v>
      </c>
      <c r="B1216" s="1" t="s">
        <v>2330</v>
      </c>
      <c r="C1216" s="1" t="s">
        <v>2331</v>
      </c>
      <c r="E1216">
        <f t="shared" si="18"/>
        <v>0</v>
      </c>
    </row>
    <row r="1217" spans="1:5">
      <c r="A1217" s="1">
        <f>IF(C1217="","",COUNTA(C$4:C1217))</f>
        <v>1205</v>
      </c>
      <c r="B1217" s="1" t="s">
        <v>2332</v>
      </c>
      <c r="C1217" s="1" t="s">
        <v>2333</v>
      </c>
      <c r="E1217">
        <f t="shared" si="18"/>
        <v>0</v>
      </c>
    </row>
    <row r="1218" spans="1:5">
      <c r="A1218" s="1">
        <f>IF(C1218="","",COUNTA(C$4:C1218))</f>
        <v>1206</v>
      </c>
      <c r="B1218" s="1" t="s">
        <v>2334</v>
      </c>
      <c r="C1218" s="1" t="s">
        <v>2335</v>
      </c>
      <c r="E1218">
        <f t="shared" si="18"/>
        <v>0</v>
      </c>
    </row>
    <row r="1219" spans="1:5">
      <c r="A1219" s="1">
        <f>IF(C1219="","",COUNTA(C$4:C1219))</f>
        <v>1207</v>
      </c>
      <c r="B1219" s="1" t="s">
        <v>2336</v>
      </c>
      <c r="C1219" s="1" t="s">
        <v>2337</v>
      </c>
      <c r="E1219">
        <f t="shared" si="18"/>
        <v>0</v>
      </c>
    </row>
    <row r="1220" spans="1:5">
      <c r="A1220" s="1">
        <f>IF(C1220="","",COUNTA(C$4:C1220))</f>
        <v>1208</v>
      </c>
      <c r="B1220" s="1" t="s">
        <v>2338</v>
      </c>
      <c r="C1220" s="1" t="s">
        <v>2339</v>
      </c>
      <c r="E1220">
        <f t="shared" si="18"/>
        <v>0</v>
      </c>
    </row>
    <row r="1221" spans="1:5">
      <c r="A1221" s="1">
        <f>IF(C1221="","",COUNTA(C$4:C1221))</f>
        <v>1209</v>
      </c>
      <c r="B1221" s="1" t="s">
        <v>2340</v>
      </c>
      <c r="C1221" s="1" t="s">
        <v>2341</v>
      </c>
      <c r="E1221">
        <f t="shared" ref="E1221:E1284" si="19">IF(C1221=D1221,1,0)</f>
        <v>0</v>
      </c>
    </row>
    <row r="1222" spans="1:5">
      <c r="A1222" s="1">
        <f>IF(C1222="","",COUNTA(C$4:C1222))</f>
        <v>1210</v>
      </c>
      <c r="B1222" s="1" t="s">
        <v>2342</v>
      </c>
      <c r="C1222" s="1" t="s">
        <v>2343</v>
      </c>
      <c r="E1222">
        <f t="shared" si="19"/>
        <v>0</v>
      </c>
    </row>
    <row r="1223" spans="1:5">
      <c r="A1223" s="1">
        <f>IF(C1223="","",COUNTA(C$4:C1223))</f>
        <v>1211</v>
      </c>
      <c r="B1223" s="1" t="s">
        <v>2344</v>
      </c>
      <c r="C1223" s="1" t="s">
        <v>2345</v>
      </c>
      <c r="E1223">
        <f t="shared" si="19"/>
        <v>0</v>
      </c>
    </row>
    <row r="1224" spans="1:5">
      <c r="A1224" s="1">
        <f>IF(C1224="","",COUNTA(C$4:C1224))</f>
        <v>1212</v>
      </c>
      <c r="B1224" s="1" t="s">
        <v>2346</v>
      </c>
      <c r="C1224" s="1" t="s">
        <v>2347</v>
      </c>
      <c r="E1224">
        <f t="shared" si="19"/>
        <v>0</v>
      </c>
    </row>
    <row r="1225" spans="1:5">
      <c r="A1225" s="1">
        <f>IF(C1225="","",COUNTA(C$4:C1225))</f>
        <v>1213</v>
      </c>
      <c r="B1225" s="1" t="s">
        <v>2348</v>
      </c>
      <c r="C1225" s="1" t="s">
        <v>2349</v>
      </c>
      <c r="E1225">
        <f t="shared" si="19"/>
        <v>0</v>
      </c>
    </row>
    <row r="1226" spans="1:5">
      <c r="A1226" s="1">
        <f>IF(C1226="","",COUNTA(C$4:C1226))</f>
        <v>1214</v>
      </c>
      <c r="B1226" s="1" t="s">
        <v>2350</v>
      </c>
      <c r="C1226" s="1" t="s">
        <v>2351</v>
      </c>
      <c r="E1226">
        <f t="shared" si="19"/>
        <v>0</v>
      </c>
    </row>
    <row r="1227" spans="1:5">
      <c r="A1227" s="1">
        <f>IF(C1227="","",COUNTA(C$4:C1227))</f>
        <v>1215</v>
      </c>
      <c r="B1227" s="1" t="s">
        <v>2352</v>
      </c>
      <c r="C1227" s="1" t="s">
        <v>2353</v>
      </c>
      <c r="E1227">
        <f t="shared" si="19"/>
        <v>0</v>
      </c>
    </row>
    <row r="1228" spans="1:5">
      <c r="A1228" s="1">
        <f>IF(C1228="","",COUNTA(C$4:C1228))</f>
        <v>1216</v>
      </c>
      <c r="B1228" s="1" t="s">
        <v>2354</v>
      </c>
      <c r="C1228" s="1" t="s">
        <v>2355</v>
      </c>
      <c r="E1228">
        <f t="shared" si="19"/>
        <v>0</v>
      </c>
    </row>
    <row r="1229" spans="1:5">
      <c r="A1229" s="1">
        <f>IF(C1229="","",COUNTA(C$4:C1229))</f>
        <v>1217</v>
      </c>
      <c r="B1229" s="1" t="s">
        <v>2356</v>
      </c>
      <c r="C1229" s="1" t="s">
        <v>2357</v>
      </c>
      <c r="E1229">
        <f t="shared" si="19"/>
        <v>0</v>
      </c>
    </row>
    <row r="1230" spans="1:5">
      <c r="A1230" s="1">
        <f>IF(C1230="","",COUNTA(C$4:C1230))</f>
        <v>1218</v>
      </c>
      <c r="B1230" s="1" t="s">
        <v>2358</v>
      </c>
      <c r="C1230" s="1" t="s">
        <v>2359</v>
      </c>
      <c r="E1230">
        <f t="shared" si="19"/>
        <v>0</v>
      </c>
    </row>
    <row r="1231" spans="1:5">
      <c r="A1231" s="1">
        <f>IF(C1231="","",COUNTA(C$4:C1231))</f>
        <v>1219</v>
      </c>
      <c r="B1231" s="1" t="s">
        <v>2360</v>
      </c>
      <c r="C1231" s="1" t="s">
        <v>2361</v>
      </c>
      <c r="E1231">
        <f t="shared" si="19"/>
        <v>0</v>
      </c>
    </row>
    <row r="1232" spans="1:5">
      <c r="A1232" s="1">
        <f>IF(C1232="","",COUNTA(C$4:C1232))</f>
        <v>1220</v>
      </c>
      <c r="B1232" s="1" t="s">
        <v>2362</v>
      </c>
      <c r="C1232" s="1" t="s">
        <v>2363</v>
      </c>
      <c r="E1232">
        <f t="shared" si="19"/>
        <v>0</v>
      </c>
    </row>
    <row r="1233" spans="1:5">
      <c r="A1233" s="1">
        <f>IF(C1233="","",COUNTA(C$4:C1233))</f>
        <v>1221</v>
      </c>
      <c r="B1233" s="1" t="s">
        <v>2364</v>
      </c>
      <c r="C1233" s="1" t="s">
        <v>2365</v>
      </c>
      <c r="E1233">
        <f t="shared" si="19"/>
        <v>0</v>
      </c>
    </row>
    <row r="1234" spans="1:5">
      <c r="A1234" s="1">
        <f>IF(C1234="","",COUNTA(C$4:C1234))</f>
        <v>1222</v>
      </c>
      <c r="B1234" s="1" t="s">
        <v>2366</v>
      </c>
      <c r="C1234" s="1" t="s">
        <v>2367</v>
      </c>
      <c r="E1234">
        <f t="shared" si="19"/>
        <v>0</v>
      </c>
    </row>
    <row r="1235" spans="1:5">
      <c r="A1235" s="1">
        <f>IF(C1235="","",COUNTA(C$4:C1235))</f>
        <v>1223</v>
      </c>
      <c r="B1235" s="1" t="s">
        <v>2368</v>
      </c>
      <c r="C1235" s="1" t="s">
        <v>2369</v>
      </c>
      <c r="E1235">
        <f t="shared" si="19"/>
        <v>0</v>
      </c>
    </row>
    <row r="1236" spans="1:5">
      <c r="A1236" s="1">
        <f>IF(C1236="","",COUNTA(C$4:C1236))</f>
        <v>1224</v>
      </c>
      <c r="B1236" s="1" t="s">
        <v>2370</v>
      </c>
      <c r="C1236" s="1" t="s">
        <v>2371</v>
      </c>
      <c r="E1236">
        <f t="shared" si="19"/>
        <v>0</v>
      </c>
    </row>
    <row r="1237" spans="1:5">
      <c r="A1237" s="1">
        <f>IF(C1237="","",COUNTA(C$4:C1237))</f>
        <v>1225</v>
      </c>
      <c r="B1237" s="1" t="s">
        <v>2372</v>
      </c>
      <c r="C1237" s="1" t="s">
        <v>2373</v>
      </c>
      <c r="E1237">
        <f t="shared" si="19"/>
        <v>0</v>
      </c>
    </row>
    <row r="1238" spans="1:5">
      <c r="A1238" s="1">
        <f>IF(C1238="","",COUNTA(C$4:C1238))</f>
        <v>1226</v>
      </c>
      <c r="B1238" s="1" t="s">
        <v>2374</v>
      </c>
      <c r="C1238" s="1" t="s">
        <v>2375</v>
      </c>
      <c r="E1238">
        <f t="shared" si="19"/>
        <v>0</v>
      </c>
    </row>
    <row r="1239" spans="1:5">
      <c r="A1239" s="1">
        <f>IF(C1239="","",COUNTA(C$4:C1239))</f>
        <v>1227</v>
      </c>
      <c r="B1239" s="1" t="s">
        <v>2376</v>
      </c>
      <c r="C1239" s="1" t="s">
        <v>2377</v>
      </c>
      <c r="E1239">
        <f t="shared" si="19"/>
        <v>0</v>
      </c>
    </row>
    <row r="1240" spans="1:5">
      <c r="A1240" s="1">
        <f>IF(C1240="","",COUNTA(C$4:C1240))</f>
        <v>1228</v>
      </c>
      <c r="B1240" s="1" t="s">
        <v>2378</v>
      </c>
      <c r="C1240" s="1" t="s">
        <v>2379</v>
      </c>
      <c r="E1240">
        <f t="shared" si="19"/>
        <v>0</v>
      </c>
    </row>
    <row r="1241" spans="1:5">
      <c r="A1241" s="1">
        <f>IF(C1241="","",COUNTA(C$4:C1241))</f>
        <v>1229</v>
      </c>
      <c r="B1241" s="1" t="s">
        <v>2380</v>
      </c>
      <c r="C1241" s="1" t="s">
        <v>2381</v>
      </c>
      <c r="E1241">
        <f t="shared" si="19"/>
        <v>0</v>
      </c>
    </row>
    <row r="1242" spans="1:5">
      <c r="A1242" s="1">
        <f>IF(C1242="","",COUNTA(C$4:C1242))</f>
        <v>1230</v>
      </c>
      <c r="B1242" s="1" t="s">
        <v>2382</v>
      </c>
      <c r="C1242" s="1" t="s">
        <v>2383</v>
      </c>
      <c r="E1242">
        <f t="shared" si="19"/>
        <v>0</v>
      </c>
    </row>
    <row r="1243" spans="1:5">
      <c r="A1243" s="1">
        <f>IF(C1243="","",COUNTA(C$4:C1243))</f>
        <v>1231</v>
      </c>
      <c r="B1243" s="1" t="s">
        <v>2384</v>
      </c>
      <c r="C1243" s="1" t="s">
        <v>2385</v>
      </c>
      <c r="E1243">
        <f t="shared" si="19"/>
        <v>0</v>
      </c>
    </row>
    <row r="1244" spans="1:5">
      <c r="A1244" s="1">
        <f>IF(C1244="","",COUNTA(C$4:C1244))</f>
        <v>1232</v>
      </c>
      <c r="B1244" s="1" t="s">
        <v>2386</v>
      </c>
      <c r="C1244" s="1" t="s">
        <v>2387</v>
      </c>
      <c r="E1244">
        <f t="shared" si="19"/>
        <v>0</v>
      </c>
    </row>
    <row r="1245" spans="1:5">
      <c r="A1245" s="1">
        <f>IF(C1245="","",COUNTA(C$4:C1245))</f>
        <v>1233</v>
      </c>
      <c r="B1245" s="1" t="s">
        <v>2319</v>
      </c>
      <c r="C1245" s="1" t="s">
        <v>2388</v>
      </c>
      <c r="E1245">
        <f t="shared" si="19"/>
        <v>0</v>
      </c>
    </row>
    <row r="1246" spans="1:5">
      <c r="A1246" s="1">
        <f>IF(C1246="","",COUNTA(C$4:C1246))</f>
        <v>1234</v>
      </c>
      <c r="B1246" s="1" t="s">
        <v>2389</v>
      </c>
      <c r="C1246" s="1" t="s">
        <v>2390</v>
      </c>
      <c r="E1246">
        <f t="shared" si="19"/>
        <v>0</v>
      </c>
    </row>
    <row r="1247" spans="1:5">
      <c r="A1247" s="1">
        <f>IF(C1247="","",COUNTA(C$4:C1247))</f>
        <v>1235</v>
      </c>
      <c r="B1247" s="1" t="s">
        <v>2391</v>
      </c>
      <c r="C1247" s="1" t="s">
        <v>2392</v>
      </c>
      <c r="E1247">
        <f t="shared" si="19"/>
        <v>0</v>
      </c>
    </row>
    <row r="1248" spans="1:5">
      <c r="A1248" s="1">
        <f>IF(C1248="","",COUNTA(C$4:C1248))</f>
        <v>1236</v>
      </c>
      <c r="B1248" s="1" t="s">
        <v>2270</v>
      </c>
      <c r="C1248" s="1" t="s">
        <v>2393</v>
      </c>
      <c r="E1248">
        <f t="shared" si="19"/>
        <v>0</v>
      </c>
    </row>
    <row r="1249" spans="1:5">
      <c r="A1249" s="1">
        <f>IF(C1249="","",COUNTA(C$4:C1249))</f>
        <v>1237</v>
      </c>
      <c r="B1249" s="1" t="s">
        <v>2206</v>
      </c>
      <c r="C1249" s="1" t="s">
        <v>2394</v>
      </c>
      <c r="E1249">
        <f t="shared" si="19"/>
        <v>0</v>
      </c>
    </row>
    <row r="1250" spans="1:5">
      <c r="A1250" s="1">
        <f>IF(C1250="","",COUNTA(C$4:C1250))</f>
        <v>1238</v>
      </c>
      <c r="B1250" s="1" t="s">
        <v>2395</v>
      </c>
      <c r="C1250" s="1" t="s">
        <v>2396</v>
      </c>
      <c r="E1250">
        <f t="shared" si="19"/>
        <v>0</v>
      </c>
    </row>
    <row r="1251" spans="1:5">
      <c r="A1251" s="1">
        <f>IF(C1251="","",COUNTA(C$4:C1251))</f>
        <v>1239</v>
      </c>
      <c r="B1251" s="1" t="s">
        <v>2397</v>
      </c>
      <c r="C1251" s="1" t="s">
        <v>2398</v>
      </c>
      <c r="E1251">
        <f t="shared" si="19"/>
        <v>0</v>
      </c>
    </row>
    <row r="1252" spans="1:5">
      <c r="A1252" s="12" t="s">
        <v>2399</v>
      </c>
      <c r="B1252" s="13"/>
      <c r="C1252" s="14"/>
      <c r="D1252" s="9"/>
      <c r="E1252">
        <f t="shared" si="19"/>
        <v>1</v>
      </c>
    </row>
    <row r="1253" spans="1:5">
      <c r="A1253" s="1">
        <f>IF(C1253="","",COUNTA(C$4:C1253))</f>
        <v>1240</v>
      </c>
      <c r="B1253" s="1" t="s">
        <v>2400</v>
      </c>
      <c r="C1253" s="1" t="s">
        <v>2401</v>
      </c>
      <c r="E1253">
        <f t="shared" si="19"/>
        <v>0</v>
      </c>
    </row>
    <row r="1254" spans="1:5">
      <c r="A1254" s="1">
        <f>IF(C1254="","",COUNTA(C$4:C1254))</f>
        <v>1241</v>
      </c>
      <c r="B1254" s="1" t="s">
        <v>2402</v>
      </c>
      <c r="C1254" s="1" t="s">
        <v>2403</v>
      </c>
      <c r="E1254">
        <f t="shared" si="19"/>
        <v>0</v>
      </c>
    </row>
    <row r="1255" spans="1:5">
      <c r="A1255" s="1">
        <f>IF(C1255="","",COUNTA(C$4:C1255))</f>
        <v>1242</v>
      </c>
      <c r="B1255" s="1" t="s">
        <v>2400</v>
      </c>
      <c r="C1255" s="1" t="s">
        <v>2404</v>
      </c>
      <c r="E1255">
        <f t="shared" si="19"/>
        <v>0</v>
      </c>
    </row>
    <row r="1256" spans="1:5">
      <c r="A1256" s="1">
        <f>IF(C1256="","",COUNTA(C$4:C1256))</f>
        <v>1243</v>
      </c>
      <c r="B1256" s="1" t="s">
        <v>2405</v>
      </c>
      <c r="C1256" s="1" t="s">
        <v>2406</v>
      </c>
      <c r="E1256">
        <f t="shared" si="19"/>
        <v>0</v>
      </c>
    </row>
    <row r="1257" spans="1:5">
      <c r="A1257" s="1">
        <f>IF(C1257="","",COUNTA(C$4:C1257))</f>
        <v>1244</v>
      </c>
      <c r="B1257" s="1" t="s">
        <v>2407</v>
      </c>
      <c r="C1257" s="1" t="s">
        <v>2408</v>
      </c>
      <c r="E1257">
        <f t="shared" si="19"/>
        <v>0</v>
      </c>
    </row>
    <row r="1258" spans="1:5">
      <c r="A1258" s="1">
        <f>IF(C1258="","",COUNTA(C$4:C1258))</f>
        <v>1245</v>
      </c>
      <c r="B1258" s="1" t="s">
        <v>2409</v>
      </c>
      <c r="C1258" s="1" t="s">
        <v>2410</v>
      </c>
      <c r="E1258">
        <f t="shared" si="19"/>
        <v>0</v>
      </c>
    </row>
    <row r="1259" spans="1:5">
      <c r="A1259" s="1">
        <f>IF(C1259="","",COUNTA(C$4:C1259))</f>
        <v>1246</v>
      </c>
      <c r="B1259" s="1" t="s">
        <v>2411</v>
      </c>
      <c r="C1259" s="1" t="s">
        <v>2412</v>
      </c>
      <c r="E1259">
        <f t="shared" si="19"/>
        <v>0</v>
      </c>
    </row>
    <row r="1260" spans="1:5">
      <c r="A1260" s="1">
        <f>IF(C1260="","",COUNTA(C$4:C1260))</f>
        <v>1247</v>
      </c>
      <c r="B1260" s="1" t="s">
        <v>2413</v>
      </c>
      <c r="C1260" s="1" t="s">
        <v>2414</v>
      </c>
      <c r="E1260">
        <f t="shared" si="19"/>
        <v>0</v>
      </c>
    </row>
    <row r="1261" spans="1:5">
      <c r="A1261" s="1">
        <f>IF(C1261="","",COUNTA(C$4:C1261))</f>
        <v>1248</v>
      </c>
      <c r="B1261" s="1" t="s">
        <v>2415</v>
      </c>
      <c r="C1261" s="1" t="s">
        <v>2416</v>
      </c>
      <c r="E1261">
        <f t="shared" si="19"/>
        <v>0</v>
      </c>
    </row>
    <row r="1262" spans="1:5">
      <c r="A1262" s="1">
        <f>IF(C1262="","",COUNTA(C$4:C1262))</f>
        <v>1249</v>
      </c>
      <c r="B1262" s="1" t="s">
        <v>2417</v>
      </c>
      <c r="C1262" s="1" t="s">
        <v>2418</v>
      </c>
      <c r="E1262">
        <f t="shared" si="19"/>
        <v>0</v>
      </c>
    </row>
    <row r="1263" spans="1:5">
      <c r="A1263" s="1">
        <f>IF(C1263="","",COUNTA(C$4:C1263))</f>
        <v>1250</v>
      </c>
      <c r="B1263" s="1" t="s">
        <v>2419</v>
      </c>
      <c r="C1263" s="1" t="s">
        <v>2420</v>
      </c>
      <c r="E1263">
        <f t="shared" si="19"/>
        <v>0</v>
      </c>
    </row>
    <row r="1264" spans="1:5">
      <c r="A1264" s="1">
        <f>IF(C1264="","",COUNTA(C$4:C1264))</f>
        <v>1251</v>
      </c>
      <c r="B1264" s="1" t="s">
        <v>2421</v>
      </c>
      <c r="C1264" s="1" t="s">
        <v>2422</v>
      </c>
      <c r="E1264">
        <f t="shared" si="19"/>
        <v>0</v>
      </c>
    </row>
    <row r="1265" spans="1:5">
      <c r="A1265" s="1">
        <f>IF(C1265="","",COUNTA(C$4:C1265))</f>
        <v>1252</v>
      </c>
      <c r="B1265" s="1" t="s">
        <v>2423</v>
      </c>
      <c r="C1265" s="1" t="s">
        <v>2424</v>
      </c>
      <c r="E1265">
        <f t="shared" si="19"/>
        <v>0</v>
      </c>
    </row>
    <row r="1266" spans="1:5">
      <c r="A1266" s="1">
        <f>IF(C1266="","",COUNTA(C$4:C1266))</f>
        <v>1253</v>
      </c>
      <c r="B1266" s="1" t="s">
        <v>2425</v>
      </c>
      <c r="C1266" s="1" t="s">
        <v>2426</v>
      </c>
      <c r="E1266">
        <f t="shared" si="19"/>
        <v>0</v>
      </c>
    </row>
    <row r="1267" spans="1:5">
      <c r="A1267" s="1">
        <f>IF(C1267="","",COUNTA(C$4:C1267))</f>
        <v>1254</v>
      </c>
      <c r="B1267" s="1" t="s">
        <v>2427</v>
      </c>
      <c r="C1267" s="1" t="s">
        <v>2428</v>
      </c>
      <c r="E1267">
        <f t="shared" si="19"/>
        <v>0</v>
      </c>
    </row>
    <row r="1268" spans="1:5">
      <c r="A1268" s="1">
        <f>IF(C1268="","",COUNTA(C$4:C1268))</f>
        <v>1255</v>
      </c>
      <c r="B1268" s="1" t="s">
        <v>2429</v>
      </c>
      <c r="C1268" s="1" t="s">
        <v>2430</v>
      </c>
      <c r="E1268">
        <f t="shared" si="19"/>
        <v>0</v>
      </c>
    </row>
    <row r="1269" spans="1:5">
      <c r="A1269" s="1">
        <f>IF(C1269="","",COUNTA(C$4:C1269))</f>
        <v>1256</v>
      </c>
      <c r="B1269" s="1" t="s">
        <v>2431</v>
      </c>
      <c r="C1269" s="1" t="s">
        <v>2432</v>
      </c>
      <c r="E1269">
        <f t="shared" si="19"/>
        <v>0</v>
      </c>
    </row>
    <row r="1270" spans="1:5">
      <c r="A1270" s="1">
        <f>IF(C1270="","",COUNTA(C$4:C1270))</f>
        <v>1257</v>
      </c>
      <c r="B1270" s="1" t="s">
        <v>2433</v>
      </c>
      <c r="C1270" s="1" t="s">
        <v>2434</v>
      </c>
      <c r="E1270">
        <f t="shared" si="19"/>
        <v>0</v>
      </c>
    </row>
    <row r="1271" spans="1:5">
      <c r="A1271" s="1">
        <f>IF(C1271="","",COUNTA(C$4:C1271))</f>
        <v>1258</v>
      </c>
      <c r="B1271" s="1" t="s">
        <v>1291</v>
      </c>
      <c r="C1271" s="1" t="s">
        <v>2435</v>
      </c>
      <c r="E1271">
        <f t="shared" si="19"/>
        <v>0</v>
      </c>
    </row>
    <row r="1272" spans="1:5">
      <c r="A1272" s="1">
        <f>IF(C1272="","",COUNTA(C$4:C1272))</f>
        <v>1259</v>
      </c>
      <c r="B1272" s="1" t="s">
        <v>2436</v>
      </c>
      <c r="C1272" s="1" t="s">
        <v>2437</v>
      </c>
      <c r="E1272">
        <f t="shared" si="19"/>
        <v>0</v>
      </c>
    </row>
    <row r="1273" spans="1:5">
      <c r="A1273" s="1">
        <f>IF(C1273="","",COUNTA(C$4:C1273))</f>
        <v>1260</v>
      </c>
      <c r="B1273" s="1" t="s">
        <v>2438</v>
      </c>
      <c r="C1273" s="1" t="s">
        <v>2439</v>
      </c>
      <c r="E1273">
        <f t="shared" si="19"/>
        <v>0</v>
      </c>
    </row>
    <row r="1274" spans="1:5">
      <c r="A1274" s="1">
        <f>IF(C1274="","",COUNTA(C$4:C1274))</f>
        <v>1261</v>
      </c>
      <c r="B1274" s="1" t="s">
        <v>2440</v>
      </c>
      <c r="C1274" s="1" t="s">
        <v>2441</v>
      </c>
      <c r="E1274">
        <f t="shared" si="19"/>
        <v>0</v>
      </c>
    </row>
    <row r="1275" spans="1:5">
      <c r="A1275" s="1">
        <f>IF(C1275="","",COUNTA(C$4:C1275))</f>
        <v>1262</v>
      </c>
      <c r="B1275" s="1" t="s">
        <v>2313</v>
      </c>
      <c r="C1275" s="1" t="s">
        <v>2442</v>
      </c>
      <c r="E1275">
        <f t="shared" si="19"/>
        <v>0</v>
      </c>
    </row>
    <row r="1276" spans="1:5">
      <c r="A1276" s="1">
        <f>IF(C1276="","",COUNTA(C$4:C1276))</f>
        <v>1263</v>
      </c>
      <c r="B1276" s="1" t="s">
        <v>2443</v>
      </c>
      <c r="C1276" s="1" t="s">
        <v>2444</v>
      </c>
      <c r="E1276">
        <f t="shared" si="19"/>
        <v>0</v>
      </c>
    </row>
    <row r="1277" spans="1:5">
      <c r="A1277" s="1">
        <f>IF(C1277="","",COUNTA(C$4:C1277))</f>
        <v>1264</v>
      </c>
      <c r="B1277" s="1" t="s">
        <v>2445</v>
      </c>
      <c r="C1277" s="1" t="s">
        <v>2446</v>
      </c>
      <c r="E1277">
        <f t="shared" si="19"/>
        <v>0</v>
      </c>
    </row>
    <row r="1278" spans="1:5">
      <c r="A1278" s="1">
        <f>IF(C1278="","",COUNTA(C$4:C1278))</f>
        <v>1265</v>
      </c>
      <c r="B1278" s="1" t="s">
        <v>2447</v>
      </c>
      <c r="C1278" s="1" t="s">
        <v>2448</v>
      </c>
      <c r="E1278">
        <f t="shared" si="19"/>
        <v>0</v>
      </c>
    </row>
    <row r="1279" spans="1:5">
      <c r="A1279" s="1">
        <f>IF(C1279="","",COUNTA(C$4:C1279))</f>
        <v>1266</v>
      </c>
      <c r="B1279" s="1" t="s">
        <v>2449</v>
      </c>
      <c r="C1279" s="1" t="s">
        <v>2450</v>
      </c>
      <c r="E1279">
        <f t="shared" si="19"/>
        <v>0</v>
      </c>
    </row>
    <row r="1280" spans="1:5">
      <c r="A1280" s="1">
        <f>IF(C1280="","",COUNTA(C$4:C1280))</f>
        <v>1267</v>
      </c>
      <c r="B1280" s="1" t="s">
        <v>2451</v>
      </c>
      <c r="C1280" s="1" t="s">
        <v>2452</v>
      </c>
      <c r="E1280">
        <f t="shared" si="19"/>
        <v>0</v>
      </c>
    </row>
    <row r="1281" spans="1:5">
      <c r="A1281" s="1">
        <f>IF(C1281="","",COUNTA(C$4:C1281))</f>
        <v>1268</v>
      </c>
      <c r="B1281" s="1" t="s">
        <v>2453</v>
      </c>
      <c r="C1281" s="1" t="s">
        <v>2454</v>
      </c>
      <c r="E1281">
        <f t="shared" si="19"/>
        <v>0</v>
      </c>
    </row>
    <row r="1282" spans="1:5">
      <c r="A1282" s="1">
        <f>IF(C1282="","",COUNTA(C$4:C1282))</f>
        <v>1269</v>
      </c>
      <c r="B1282" s="1" t="s">
        <v>2455</v>
      </c>
      <c r="C1282" s="1" t="s">
        <v>2456</v>
      </c>
      <c r="E1282">
        <f t="shared" si="19"/>
        <v>0</v>
      </c>
    </row>
    <row r="1283" spans="1:5">
      <c r="A1283" s="1">
        <f>IF(C1283="","",COUNTA(C$4:C1283))</f>
        <v>1270</v>
      </c>
      <c r="B1283" s="1" t="s">
        <v>2457</v>
      </c>
      <c r="C1283" s="1" t="s">
        <v>2458</v>
      </c>
      <c r="E1283">
        <f t="shared" si="19"/>
        <v>0</v>
      </c>
    </row>
    <row r="1284" spans="1:5">
      <c r="A1284" s="1">
        <f>IF(C1284="","",COUNTA(C$4:C1284))</f>
        <v>1271</v>
      </c>
      <c r="B1284" s="1" t="s">
        <v>2459</v>
      </c>
      <c r="C1284" s="1" t="s">
        <v>2460</v>
      </c>
      <c r="E1284">
        <f t="shared" si="19"/>
        <v>0</v>
      </c>
    </row>
    <row r="1285" spans="1:5">
      <c r="A1285" s="1">
        <f>IF(C1285="","",COUNTA(C$4:C1285))</f>
        <v>1272</v>
      </c>
      <c r="B1285" s="1" t="s">
        <v>2461</v>
      </c>
      <c r="C1285" s="1" t="s">
        <v>2462</v>
      </c>
      <c r="E1285">
        <f t="shared" ref="E1285:E1348" si="20">IF(C1285=D1285,1,0)</f>
        <v>0</v>
      </c>
    </row>
    <row r="1286" spans="1:5">
      <c r="A1286" s="1">
        <f>IF(C1286="","",COUNTA(C$4:C1286))</f>
        <v>1273</v>
      </c>
      <c r="B1286" s="1" t="s">
        <v>2463</v>
      </c>
      <c r="C1286" s="1" t="s">
        <v>2464</v>
      </c>
      <c r="E1286">
        <f t="shared" si="20"/>
        <v>0</v>
      </c>
    </row>
    <row r="1287" spans="1:5">
      <c r="A1287" s="1">
        <f>IF(C1287="","",COUNTA(C$4:C1287))</f>
        <v>1274</v>
      </c>
      <c r="B1287" s="1" t="s">
        <v>2465</v>
      </c>
      <c r="C1287" s="1" t="s">
        <v>2466</v>
      </c>
      <c r="E1287">
        <f t="shared" si="20"/>
        <v>0</v>
      </c>
    </row>
    <row r="1288" spans="1:5">
      <c r="A1288" s="1">
        <f>IF(C1288="","",COUNTA(C$4:C1288))</f>
        <v>1275</v>
      </c>
      <c r="B1288" s="1" t="s">
        <v>2467</v>
      </c>
      <c r="C1288" s="1" t="s">
        <v>2468</v>
      </c>
      <c r="E1288">
        <f t="shared" si="20"/>
        <v>0</v>
      </c>
    </row>
    <row r="1289" spans="1:5">
      <c r="A1289" s="1">
        <f>IF(C1289="","",COUNTA(C$4:C1289))</f>
        <v>1276</v>
      </c>
      <c r="B1289" s="1" t="s">
        <v>2469</v>
      </c>
      <c r="C1289" s="1" t="s">
        <v>2470</v>
      </c>
      <c r="E1289">
        <f t="shared" si="20"/>
        <v>0</v>
      </c>
    </row>
    <row r="1290" spans="1:5">
      <c r="A1290" s="1">
        <f>IF(C1290="","",COUNTA(C$4:C1290))</f>
        <v>1277</v>
      </c>
      <c r="B1290" s="1" t="s">
        <v>2471</v>
      </c>
      <c r="C1290" s="1" t="s">
        <v>2472</v>
      </c>
      <c r="E1290">
        <f t="shared" si="20"/>
        <v>0</v>
      </c>
    </row>
    <row r="1291" spans="1:5">
      <c r="A1291" s="1">
        <f>IF(C1291="","",COUNTA(C$4:C1291))</f>
        <v>1278</v>
      </c>
      <c r="B1291" s="1" t="s">
        <v>2473</v>
      </c>
      <c r="C1291" s="1" t="s">
        <v>2474</v>
      </c>
      <c r="E1291">
        <f t="shared" si="20"/>
        <v>0</v>
      </c>
    </row>
    <row r="1292" spans="1:5">
      <c r="A1292" s="1">
        <f>IF(C1292="","",COUNTA(C$4:C1292))</f>
        <v>1279</v>
      </c>
      <c r="B1292" s="1" t="s">
        <v>2475</v>
      </c>
      <c r="C1292" s="1" t="s">
        <v>2476</v>
      </c>
      <c r="E1292">
        <f t="shared" si="20"/>
        <v>0</v>
      </c>
    </row>
    <row r="1293" spans="1:5">
      <c r="A1293" s="1">
        <f>IF(C1293="","",COUNTA(C$4:C1293))</f>
        <v>1280</v>
      </c>
      <c r="B1293" s="1" t="s">
        <v>2477</v>
      </c>
      <c r="C1293" s="1" t="s">
        <v>2478</v>
      </c>
      <c r="E1293">
        <f t="shared" si="20"/>
        <v>0</v>
      </c>
    </row>
    <row r="1294" spans="1:5">
      <c r="A1294" s="1">
        <f>IF(C1294="","",COUNTA(C$4:C1294))</f>
        <v>1281</v>
      </c>
      <c r="B1294" s="1" t="s">
        <v>2479</v>
      </c>
      <c r="C1294" s="1" t="s">
        <v>2480</v>
      </c>
      <c r="E1294">
        <f t="shared" si="20"/>
        <v>0</v>
      </c>
    </row>
    <row r="1295" spans="1:5">
      <c r="A1295" s="1">
        <f>IF(C1295="","",COUNTA(C$4:C1295))</f>
        <v>1282</v>
      </c>
      <c r="B1295" s="1" t="s">
        <v>2481</v>
      </c>
      <c r="C1295" s="1" t="s">
        <v>2482</v>
      </c>
      <c r="E1295">
        <f t="shared" si="20"/>
        <v>0</v>
      </c>
    </row>
    <row r="1296" spans="1:5">
      <c r="A1296" s="1">
        <f>IF(C1296="","",COUNTA(C$4:C1296))</f>
        <v>1283</v>
      </c>
      <c r="B1296" s="1" t="s">
        <v>2483</v>
      </c>
      <c r="C1296" s="1" t="s">
        <v>2484</v>
      </c>
      <c r="E1296">
        <f t="shared" si="20"/>
        <v>0</v>
      </c>
    </row>
    <row r="1297" spans="1:5">
      <c r="A1297" s="1">
        <f>IF(C1297="","",COUNTA(C$4:C1297))</f>
        <v>1284</v>
      </c>
      <c r="B1297" s="1" t="s">
        <v>1295</v>
      </c>
      <c r="C1297" s="1" t="s">
        <v>2485</v>
      </c>
      <c r="E1297">
        <f t="shared" si="20"/>
        <v>0</v>
      </c>
    </row>
    <row r="1298" spans="1:5">
      <c r="A1298" s="1">
        <f>IF(C1298="","",COUNTA(C$4:C1298))</f>
        <v>1285</v>
      </c>
      <c r="B1298" s="1" t="s">
        <v>2486</v>
      </c>
      <c r="C1298" s="1" t="s">
        <v>2487</v>
      </c>
      <c r="E1298">
        <f t="shared" si="20"/>
        <v>0</v>
      </c>
    </row>
    <row r="1299" spans="1:5">
      <c r="A1299" s="1">
        <f>IF(C1299="","",COUNTA(C$4:C1299))</f>
        <v>1286</v>
      </c>
      <c r="B1299" s="1" t="s">
        <v>2488</v>
      </c>
      <c r="C1299" s="1" t="s">
        <v>2489</v>
      </c>
      <c r="E1299">
        <f t="shared" si="20"/>
        <v>0</v>
      </c>
    </row>
    <row r="1300" spans="1:5">
      <c r="A1300" s="1">
        <f>IF(C1300="","",COUNTA(C$4:C1300))</f>
        <v>1287</v>
      </c>
      <c r="B1300" s="1" t="s">
        <v>2490</v>
      </c>
      <c r="C1300" s="1" t="s">
        <v>2491</v>
      </c>
      <c r="E1300">
        <f t="shared" si="20"/>
        <v>0</v>
      </c>
    </row>
    <row r="1301" spans="1:5">
      <c r="A1301" s="1">
        <f>IF(C1301="","",COUNTA(C$4:C1301))</f>
        <v>1288</v>
      </c>
      <c r="B1301" s="1" t="s">
        <v>2492</v>
      </c>
      <c r="C1301" s="1" t="s">
        <v>2493</v>
      </c>
      <c r="E1301">
        <f t="shared" si="20"/>
        <v>0</v>
      </c>
    </row>
    <row r="1302" spans="1:5">
      <c r="A1302" s="1">
        <f>IF(C1302="","",COUNTA(C$4:C1302))</f>
        <v>1289</v>
      </c>
      <c r="B1302" s="1" t="s">
        <v>2494</v>
      </c>
      <c r="C1302" s="1" t="s">
        <v>2495</v>
      </c>
      <c r="E1302">
        <f t="shared" si="20"/>
        <v>0</v>
      </c>
    </row>
    <row r="1303" spans="1:5">
      <c r="A1303" s="1">
        <f>IF(C1303="","",COUNTA(C$4:C1303))</f>
        <v>1290</v>
      </c>
      <c r="B1303" s="1" t="s">
        <v>2496</v>
      </c>
      <c r="C1303" s="1" t="s">
        <v>2497</v>
      </c>
      <c r="E1303">
        <f t="shared" si="20"/>
        <v>0</v>
      </c>
    </row>
    <row r="1304" spans="1:5">
      <c r="A1304" s="1">
        <f>IF(C1304="","",COUNTA(C$4:C1304))</f>
        <v>1291</v>
      </c>
      <c r="B1304" s="1" t="s">
        <v>2498</v>
      </c>
      <c r="C1304" s="1" t="s">
        <v>2499</v>
      </c>
      <c r="E1304">
        <f t="shared" si="20"/>
        <v>0</v>
      </c>
    </row>
    <row r="1305" spans="1:5">
      <c r="A1305" s="1">
        <f>IF(C1305="","",COUNTA(C$4:C1305))</f>
        <v>1292</v>
      </c>
      <c r="B1305" s="1" t="s">
        <v>2500</v>
      </c>
      <c r="C1305" s="1" t="s">
        <v>2501</v>
      </c>
      <c r="E1305">
        <f t="shared" si="20"/>
        <v>0</v>
      </c>
    </row>
    <row r="1306" spans="1:5">
      <c r="A1306" s="1">
        <f>IF(C1306="","",COUNTA(C$4:C1306))</f>
        <v>1293</v>
      </c>
      <c r="B1306" s="1" t="s">
        <v>2502</v>
      </c>
      <c r="C1306" s="1" t="s">
        <v>2503</v>
      </c>
      <c r="E1306">
        <f t="shared" si="20"/>
        <v>0</v>
      </c>
    </row>
    <row r="1307" spans="1:5">
      <c r="A1307" s="1">
        <f>IF(C1307="","",COUNTA(C$4:C1307))</f>
        <v>1294</v>
      </c>
      <c r="B1307" s="1" t="s">
        <v>2504</v>
      </c>
      <c r="C1307" s="1" t="s">
        <v>2505</v>
      </c>
      <c r="E1307">
        <f t="shared" si="20"/>
        <v>0</v>
      </c>
    </row>
    <row r="1308" spans="1:5">
      <c r="A1308" s="1">
        <f>IF(C1308="","",COUNTA(C$4:C1308))</f>
        <v>1295</v>
      </c>
      <c r="B1308" s="1" t="s">
        <v>2506</v>
      </c>
      <c r="C1308" s="1" t="s">
        <v>2507</v>
      </c>
      <c r="E1308">
        <f t="shared" si="20"/>
        <v>0</v>
      </c>
    </row>
    <row r="1309" spans="1:5">
      <c r="A1309" s="1">
        <f>IF(C1309="","",COUNTA(C$4:C1309))</f>
        <v>1296</v>
      </c>
      <c r="B1309" s="1" t="s">
        <v>2508</v>
      </c>
      <c r="C1309" s="1" t="s">
        <v>2509</v>
      </c>
      <c r="E1309">
        <f t="shared" si="20"/>
        <v>0</v>
      </c>
    </row>
    <row r="1310" spans="1:5">
      <c r="A1310" s="1">
        <f>IF(C1310="","",COUNTA(C$4:C1310))</f>
        <v>1297</v>
      </c>
      <c r="B1310" s="1" t="s">
        <v>2510</v>
      </c>
      <c r="C1310" s="1" t="s">
        <v>2511</v>
      </c>
      <c r="E1310">
        <f t="shared" si="20"/>
        <v>0</v>
      </c>
    </row>
    <row r="1311" spans="1:5">
      <c r="A1311" s="1">
        <f>IF(C1311="","",COUNTA(C$4:C1311))</f>
        <v>1298</v>
      </c>
      <c r="B1311" s="1" t="s">
        <v>2512</v>
      </c>
      <c r="C1311" s="1" t="s">
        <v>2513</v>
      </c>
      <c r="E1311">
        <f t="shared" si="20"/>
        <v>0</v>
      </c>
    </row>
    <row r="1312" spans="1:5">
      <c r="A1312" s="1">
        <f>IF(C1312="","",COUNTA(C$4:C1312))</f>
        <v>1299</v>
      </c>
      <c r="B1312" s="1" t="s">
        <v>2514</v>
      </c>
      <c r="C1312" s="1" t="s">
        <v>2515</v>
      </c>
      <c r="E1312">
        <f t="shared" si="20"/>
        <v>0</v>
      </c>
    </row>
    <row r="1313" spans="1:5">
      <c r="A1313" s="1">
        <f>IF(C1313="","",COUNTA(C$4:C1313))</f>
        <v>1300</v>
      </c>
      <c r="B1313" s="1" t="s">
        <v>2516</v>
      </c>
      <c r="C1313" s="1" t="s">
        <v>2517</v>
      </c>
      <c r="E1313">
        <f t="shared" si="20"/>
        <v>0</v>
      </c>
    </row>
    <row r="1314" spans="1:5">
      <c r="A1314" s="1">
        <f>IF(C1314="","",COUNTA(C$4:C1314))</f>
        <v>1301</v>
      </c>
      <c r="B1314" s="1" t="s">
        <v>2518</v>
      </c>
      <c r="C1314" s="1" t="s">
        <v>2519</v>
      </c>
      <c r="E1314">
        <f t="shared" si="20"/>
        <v>0</v>
      </c>
    </row>
    <row r="1315" spans="1:5">
      <c r="A1315" s="1">
        <f>IF(C1315="","",COUNTA(C$4:C1315))</f>
        <v>1302</v>
      </c>
      <c r="B1315" s="1" t="s">
        <v>2520</v>
      </c>
      <c r="C1315" s="1" t="s">
        <v>2521</v>
      </c>
      <c r="E1315">
        <f t="shared" si="20"/>
        <v>0</v>
      </c>
    </row>
    <row r="1316" spans="1:5">
      <c r="A1316" s="1">
        <f>IF(C1316="","",COUNTA(C$4:C1316))</f>
        <v>1303</v>
      </c>
      <c r="B1316" s="1" t="s">
        <v>2522</v>
      </c>
      <c r="C1316" s="1" t="s">
        <v>2523</v>
      </c>
      <c r="E1316">
        <f t="shared" si="20"/>
        <v>0</v>
      </c>
    </row>
    <row r="1317" spans="1:5">
      <c r="A1317" s="1">
        <f>IF(C1317="","",COUNTA(C$4:C1317))</f>
        <v>1304</v>
      </c>
      <c r="B1317" s="1" t="s">
        <v>2524</v>
      </c>
      <c r="C1317" s="1" t="s">
        <v>2525</v>
      </c>
      <c r="E1317">
        <f t="shared" si="20"/>
        <v>0</v>
      </c>
    </row>
    <row r="1318" spans="1:5">
      <c r="A1318" s="1">
        <f>IF(C1318="","",COUNTA(C$4:C1318))</f>
        <v>1305</v>
      </c>
      <c r="B1318" s="1" t="s">
        <v>2526</v>
      </c>
      <c r="C1318" s="1" t="s">
        <v>2527</v>
      </c>
      <c r="E1318">
        <f t="shared" si="20"/>
        <v>0</v>
      </c>
    </row>
    <row r="1319" spans="1:5">
      <c r="A1319" s="1">
        <f>IF(C1319="","",COUNTA(C$4:C1319))</f>
        <v>1306</v>
      </c>
      <c r="B1319" s="1" t="s">
        <v>2528</v>
      </c>
      <c r="C1319" s="1" t="s">
        <v>2529</v>
      </c>
      <c r="E1319">
        <f t="shared" si="20"/>
        <v>0</v>
      </c>
    </row>
    <row r="1320" spans="1:5">
      <c r="A1320" s="1">
        <f>IF(C1320="","",COUNTA(C$4:C1320))</f>
        <v>1307</v>
      </c>
      <c r="B1320" s="1" t="s">
        <v>2530</v>
      </c>
      <c r="C1320" s="1" t="s">
        <v>2531</v>
      </c>
      <c r="E1320">
        <f t="shared" si="20"/>
        <v>0</v>
      </c>
    </row>
    <row r="1321" spans="1:5">
      <c r="A1321" s="1">
        <f>IF(C1321="","",COUNTA(C$4:C1321))</f>
        <v>1308</v>
      </c>
      <c r="B1321" s="1" t="s">
        <v>2532</v>
      </c>
      <c r="C1321" s="1" t="s">
        <v>2533</v>
      </c>
      <c r="E1321">
        <f t="shared" si="20"/>
        <v>0</v>
      </c>
    </row>
    <row r="1322" spans="1:5">
      <c r="A1322" s="1">
        <f>IF(C1322="","",COUNTA(C$4:C1322))</f>
        <v>1309</v>
      </c>
      <c r="B1322" s="1" t="s">
        <v>2534</v>
      </c>
      <c r="C1322" s="1" t="s">
        <v>2535</v>
      </c>
      <c r="E1322">
        <f t="shared" si="20"/>
        <v>0</v>
      </c>
    </row>
    <row r="1323" spans="1:5">
      <c r="A1323" s="1">
        <f>IF(C1323="","",COUNTA(C$4:C1323))</f>
        <v>1310</v>
      </c>
      <c r="B1323" s="1" t="s">
        <v>2536</v>
      </c>
      <c r="C1323" s="1" t="s">
        <v>2537</v>
      </c>
      <c r="E1323">
        <f t="shared" si="20"/>
        <v>0</v>
      </c>
    </row>
    <row r="1324" spans="1:5">
      <c r="A1324" s="1">
        <f>IF(C1324="","",COUNTA(C$4:C1324))</f>
        <v>1311</v>
      </c>
      <c r="B1324" s="1" t="s">
        <v>2538</v>
      </c>
      <c r="C1324" s="1" t="s">
        <v>2539</v>
      </c>
      <c r="E1324">
        <f t="shared" si="20"/>
        <v>0</v>
      </c>
    </row>
    <row r="1325" spans="1:5">
      <c r="A1325" s="1">
        <f>IF(C1325="","",COUNTA(C$4:C1325))</f>
        <v>1312</v>
      </c>
      <c r="B1325" s="1" t="s">
        <v>2540</v>
      </c>
      <c r="C1325" s="1" t="s">
        <v>2541</v>
      </c>
      <c r="E1325">
        <f t="shared" si="20"/>
        <v>0</v>
      </c>
    </row>
    <row r="1326" spans="1:5">
      <c r="A1326" s="1">
        <f>IF(C1326="","",COUNTA(C$4:C1326))</f>
        <v>1313</v>
      </c>
      <c r="B1326" s="1" t="s">
        <v>2542</v>
      </c>
      <c r="C1326" s="1" t="s">
        <v>2543</v>
      </c>
      <c r="E1326">
        <f t="shared" si="20"/>
        <v>0</v>
      </c>
    </row>
    <row r="1327" spans="1:5">
      <c r="A1327" s="1">
        <f>IF(C1327="","",COUNTA(C$4:C1327))</f>
        <v>1314</v>
      </c>
      <c r="B1327" s="1" t="s">
        <v>2544</v>
      </c>
      <c r="C1327" s="1" t="s">
        <v>2545</v>
      </c>
      <c r="E1327">
        <f t="shared" si="20"/>
        <v>0</v>
      </c>
    </row>
    <row r="1328" spans="1:5">
      <c r="A1328" s="1">
        <f>IF(C1328="","",COUNTA(C$4:C1328))</f>
        <v>1315</v>
      </c>
      <c r="B1328" s="1" t="s">
        <v>2546</v>
      </c>
      <c r="C1328" s="1" t="s">
        <v>2547</v>
      </c>
      <c r="E1328">
        <f t="shared" si="20"/>
        <v>0</v>
      </c>
    </row>
    <row r="1329" spans="1:5">
      <c r="A1329" s="1">
        <f>IF(C1329="","",COUNTA(C$4:C1329))</f>
        <v>1316</v>
      </c>
      <c r="B1329" s="1" t="s">
        <v>2548</v>
      </c>
      <c r="C1329" s="1" t="s">
        <v>1235</v>
      </c>
      <c r="E1329">
        <f t="shared" si="20"/>
        <v>0</v>
      </c>
    </row>
    <row r="1330" spans="1:5">
      <c r="A1330" s="1">
        <f>IF(C1330="","",COUNTA(C$4:C1330))</f>
        <v>1317</v>
      </c>
      <c r="B1330" s="1" t="s">
        <v>2549</v>
      </c>
      <c r="C1330" s="1" t="s">
        <v>2550</v>
      </c>
      <c r="E1330">
        <f t="shared" si="20"/>
        <v>0</v>
      </c>
    </row>
    <row r="1331" spans="1:5">
      <c r="A1331" s="1">
        <f>IF(C1331="","",COUNTA(C$4:C1331))</f>
        <v>1318</v>
      </c>
      <c r="B1331" s="1" t="s">
        <v>2551</v>
      </c>
      <c r="C1331" s="1" t="s">
        <v>2552</v>
      </c>
      <c r="E1331">
        <f t="shared" si="20"/>
        <v>0</v>
      </c>
    </row>
    <row r="1332" spans="1:5">
      <c r="A1332" s="1">
        <f>IF(C1332="","",COUNTA(C$4:C1332))</f>
        <v>1319</v>
      </c>
      <c r="B1332" s="1" t="s">
        <v>2553</v>
      </c>
      <c r="C1332" s="1" t="s">
        <v>2554</v>
      </c>
      <c r="E1332">
        <f t="shared" si="20"/>
        <v>0</v>
      </c>
    </row>
    <row r="1333" spans="1:5">
      <c r="A1333" s="1">
        <f>IF(C1333="","",COUNTA(C$4:C1333))</f>
        <v>1320</v>
      </c>
      <c r="B1333" s="1" t="s">
        <v>2555</v>
      </c>
      <c r="C1333" s="1" t="s">
        <v>2556</v>
      </c>
      <c r="E1333">
        <f t="shared" si="20"/>
        <v>0</v>
      </c>
    </row>
    <row r="1334" spans="1:5">
      <c r="A1334" s="1">
        <f>IF(C1334="","",COUNTA(C$4:C1334))</f>
        <v>1321</v>
      </c>
      <c r="B1334" s="1" t="s">
        <v>2557</v>
      </c>
      <c r="C1334" s="1" t="s">
        <v>2558</v>
      </c>
      <c r="E1334">
        <f t="shared" si="20"/>
        <v>0</v>
      </c>
    </row>
    <row r="1335" spans="1:5">
      <c r="A1335" s="1">
        <f>IF(C1335="","",COUNTA(C$4:C1335))</f>
        <v>1322</v>
      </c>
      <c r="B1335" s="1" t="s">
        <v>2559</v>
      </c>
      <c r="C1335" s="1" t="s">
        <v>2560</v>
      </c>
      <c r="E1335">
        <f t="shared" si="20"/>
        <v>0</v>
      </c>
    </row>
    <row r="1336" spans="1:5">
      <c r="A1336" s="1">
        <f>IF(C1336="","",COUNTA(C$4:C1336))</f>
        <v>1323</v>
      </c>
      <c r="B1336" s="1" t="s">
        <v>2561</v>
      </c>
      <c r="C1336" s="1" t="s">
        <v>2562</v>
      </c>
      <c r="E1336">
        <f t="shared" si="20"/>
        <v>0</v>
      </c>
    </row>
    <row r="1337" spans="1:5">
      <c r="A1337" s="1">
        <f>IF(C1337="","",COUNTA(C$4:C1337))</f>
        <v>1324</v>
      </c>
      <c r="B1337" s="1" t="s">
        <v>2563</v>
      </c>
      <c r="C1337" s="1" t="s">
        <v>2564</v>
      </c>
      <c r="E1337">
        <f t="shared" si="20"/>
        <v>0</v>
      </c>
    </row>
    <row r="1338" spans="1:5">
      <c r="A1338" s="1">
        <f>IF(C1338="","",COUNTA(C$4:C1338))</f>
        <v>1325</v>
      </c>
      <c r="B1338" s="1" t="s">
        <v>2565</v>
      </c>
      <c r="C1338" s="1" t="s">
        <v>2566</v>
      </c>
      <c r="E1338">
        <f t="shared" si="20"/>
        <v>0</v>
      </c>
    </row>
    <row r="1339" spans="1:5">
      <c r="A1339" s="1">
        <f>IF(C1339="","",COUNTA(C$4:C1339))</f>
        <v>1326</v>
      </c>
      <c r="B1339" s="1" t="s">
        <v>2567</v>
      </c>
      <c r="C1339" s="1" t="s">
        <v>1277</v>
      </c>
      <c r="E1339">
        <f t="shared" si="20"/>
        <v>0</v>
      </c>
    </row>
    <row r="1340" spans="1:5">
      <c r="A1340" s="1">
        <f>IF(C1340="","",COUNTA(C$4:C1340))</f>
        <v>1327</v>
      </c>
      <c r="B1340" s="1" t="s">
        <v>2568</v>
      </c>
      <c r="C1340" s="1" t="s">
        <v>2569</v>
      </c>
      <c r="E1340">
        <f t="shared" si="20"/>
        <v>0</v>
      </c>
    </row>
    <row r="1341" spans="1:5">
      <c r="A1341" s="1">
        <f>IF(C1341="","",COUNTA(C$4:C1341))</f>
        <v>1328</v>
      </c>
      <c r="B1341" s="1" t="s">
        <v>2570</v>
      </c>
      <c r="C1341" s="1" t="s">
        <v>2571</v>
      </c>
      <c r="E1341">
        <f t="shared" si="20"/>
        <v>0</v>
      </c>
    </row>
    <row r="1342" spans="1:5">
      <c r="A1342" s="1">
        <f>IF(C1342="","",COUNTA(C$4:C1342))</f>
        <v>1329</v>
      </c>
      <c r="B1342" s="1" t="s">
        <v>2572</v>
      </c>
      <c r="C1342" s="1" t="s">
        <v>2573</v>
      </c>
      <c r="E1342">
        <f t="shared" si="20"/>
        <v>0</v>
      </c>
    </row>
    <row r="1343" spans="1:5">
      <c r="A1343" s="1">
        <f>IF(C1343="","",COUNTA(C$4:C1343))</f>
        <v>1330</v>
      </c>
      <c r="B1343" s="1" t="s">
        <v>2216</v>
      </c>
      <c r="C1343" s="1" t="s">
        <v>2574</v>
      </c>
      <c r="E1343">
        <f t="shared" si="20"/>
        <v>0</v>
      </c>
    </row>
    <row r="1344" spans="1:5">
      <c r="A1344" s="1">
        <f>IF(C1344="","",COUNTA(C$4:C1344))</f>
        <v>1331</v>
      </c>
      <c r="B1344" s="1" t="s">
        <v>2575</v>
      </c>
      <c r="C1344" s="1" t="s">
        <v>2576</v>
      </c>
      <c r="E1344">
        <f t="shared" si="20"/>
        <v>0</v>
      </c>
    </row>
    <row r="1345" spans="1:5">
      <c r="A1345" s="1">
        <f>IF(C1345="","",COUNTA(C$4:C1345))</f>
        <v>1332</v>
      </c>
      <c r="B1345" s="1" t="s">
        <v>2577</v>
      </c>
      <c r="C1345" s="1" t="s">
        <v>2578</v>
      </c>
      <c r="E1345">
        <f t="shared" si="20"/>
        <v>0</v>
      </c>
    </row>
    <row r="1346" spans="1:5">
      <c r="A1346" s="1">
        <f>IF(C1346="","",COUNTA(C$4:C1346))</f>
        <v>1333</v>
      </c>
      <c r="B1346" s="1" t="s">
        <v>2579</v>
      </c>
      <c r="C1346" s="1" t="s">
        <v>2580</v>
      </c>
      <c r="E1346">
        <f t="shared" si="20"/>
        <v>0</v>
      </c>
    </row>
    <row r="1347" spans="1:5">
      <c r="A1347" s="1">
        <f>IF(C1347="","",COUNTA(C$4:C1347))</f>
        <v>1334</v>
      </c>
      <c r="B1347" s="1" t="s">
        <v>2581</v>
      </c>
      <c r="C1347" s="1" t="s">
        <v>2582</v>
      </c>
      <c r="E1347">
        <f t="shared" si="20"/>
        <v>0</v>
      </c>
    </row>
    <row r="1348" spans="1:5">
      <c r="A1348" s="1">
        <f>IF(C1348="","",COUNTA(C$4:C1348))</f>
        <v>1335</v>
      </c>
      <c r="B1348" s="1" t="s">
        <v>2583</v>
      </c>
      <c r="C1348" s="1" t="s">
        <v>2584</v>
      </c>
      <c r="E1348">
        <f t="shared" si="20"/>
        <v>0</v>
      </c>
    </row>
    <row r="1349" spans="1:5">
      <c r="A1349" s="1">
        <f>IF(C1349="","",COUNTA(C$4:C1349))</f>
        <v>1336</v>
      </c>
      <c r="B1349" s="1" t="s">
        <v>2585</v>
      </c>
      <c r="C1349" s="1" t="s">
        <v>2586</v>
      </c>
      <c r="E1349">
        <f t="shared" ref="E1349:E1412" si="21">IF(C1349=D1349,1,0)</f>
        <v>0</v>
      </c>
    </row>
    <row r="1350" spans="1:5">
      <c r="A1350" s="1">
        <f>IF(C1350="","",COUNTA(C$4:C1350))</f>
        <v>1337</v>
      </c>
      <c r="B1350" s="1" t="s">
        <v>2587</v>
      </c>
      <c r="C1350" s="1" t="s">
        <v>2588</v>
      </c>
      <c r="E1350">
        <f t="shared" si="21"/>
        <v>0</v>
      </c>
    </row>
    <row r="1351" spans="1:5">
      <c r="A1351" s="1">
        <f>IF(C1351="","",COUNTA(C$4:C1351))</f>
        <v>1338</v>
      </c>
      <c r="B1351" s="1" t="s">
        <v>2589</v>
      </c>
      <c r="C1351" s="1" t="s">
        <v>2590</v>
      </c>
      <c r="E1351">
        <f t="shared" si="21"/>
        <v>0</v>
      </c>
    </row>
    <row r="1352" spans="1:5">
      <c r="A1352" s="1">
        <f>IF(C1352="","",COUNTA(C$4:C1352))</f>
        <v>1339</v>
      </c>
      <c r="B1352" s="1" t="s">
        <v>2479</v>
      </c>
      <c r="C1352" s="1" t="s">
        <v>2591</v>
      </c>
      <c r="E1352">
        <f t="shared" si="21"/>
        <v>0</v>
      </c>
    </row>
    <row r="1353" spans="1:5">
      <c r="A1353" s="1">
        <f>IF(C1353="","",COUNTA(C$4:C1353))</f>
        <v>1340</v>
      </c>
      <c r="B1353" s="1" t="s">
        <v>2592</v>
      </c>
      <c r="C1353" s="1" t="s">
        <v>2593</v>
      </c>
      <c r="E1353">
        <f t="shared" si="21"/>
        <v>0</v>
      </c>
    </row>
    <row r="1354" spans="1:5">
      <c r="A1354" s="1">
        <f>IF(C1354="","",COUNTA(C$4:C1354))</f>
        <v>1341</v>
      </c>
      <c r="B1354" s="1" t="s">
        <v>2594</v>
      </c>
      <c r="C1354" s="1" t="s">
        <v>2595</v>
      </c>
      <c r="E1354">
        <f t="shared" si="21"/>
        <v>0</v>
      </c>
    </row>
    <row r="1355" spans="1:5">
      <c r="A1355" s="1">
        <f>IF(C1355="","",COUNTA(C$4:C1355))</f>
        <v>1342</v>
      </c>
      <c r="B1355" s="1" t="s">
        <v>2596</v>
      </c>
      <c r="C1355" s="1" t="s">
        <v>2597</v>
      </c>
      <c r="E1355">
        <f t="shared" si="21"/>
        <v>0</v>
      </c>
    </row>
    <row r="1356" spans="1:5">
      <c r="A1356" s="1">
        <f>IF(C1356="","",COUNTA(C$4:C1356))</f>
        <v>1343</v>
      </c>
      <c r="B1356" s="1" t="s">
        <v>2407</v>
      </c>
      <c r="C1356" s="1" t="s">
        <v>2598</v>
      </c>
      <c r="E1356">
        <f t="shared" si="21"/>
        <v>0</v>
      </c>
    </row>
    <row r="1357" spans="1:5">
      <c r="A1357" s="12" t="s">
        <v>2599</v>
      </c>
      <c r="B1357" s="13"/>
      <c r="C1357" s="14"/>
      <c r="D1357" s="9"/>
      <c r="E1357">
        <f t="shared" si="21"/>
        <v>1</v>
      </c>
    </row>
    <row r="1358" spans="1:5">
      <c r="A1358" s="1">
        <f>IF(C1358="","",COUNTA(C$4:C1358))</f>
        <v>1344</v>
      </c>
      <c r="B1358" s="1" t="s">
        <v>2600</v>
      </c>
      <c r="C1358" s="1" t="s">
        <v>2601</v>
      </c>
      <c r="E1358">
        <f t="shared" si="21"/>
        <v>0</v>
      </c>
    </row>
    <row r="1359" spans="1:5">
      <c r="A1359" s="1">
        <f>IF(C1359="","",COUNTA(C$4:C1359))</f>
        <v>1345</v>
      </c>
      <c r="B1359" s="1" t="s">
        <v>2602</v>
      </c>
      <c r="C1359" s="1" t="s">
        <v>2603</v>
      </c>
      <c r="E1359">
        <f t="shared" si="21"/>
        <v>0</v>
      </c>
    </row>
    <row r="1360" spans="1:5">
      <c r="A1360" s="1">
        <f>IF(C1360="","",COUNTA(C$4:C1360))</f>
        <v>1346</v>
      </c>
      <c r="B1360" s="1" t="s">
        <v>2604</v>
      </c>
      <c r="C1360" s="1" t="s">
        <v>2605</v>
      </c>
      <c r="E1360">
        <f t="shared" si="21"/>
        <v>0</v>
      </c>
    </row>
    <row r="1361" spans="1:5">
      <c r="A1361" s="1">
        <f>IF(C1361="","",COUNTA(C$4:C1361))</f>
        <v>1347</v>
      </c>
      <c r="B1361" s="1" t="s">
        <v>2606</v>
      </c>
      <c r="C1361" s="1" t="s">
        <v>2607</v>
      </c>
      <c r="E1361">
        <f t="shared" si="21"/>
        <v>0</v>
      </c>
    </row>
    <row r="1362" spans="1:5">
      <c r="A1362" s="1">
        <f>IF(C1362="","",COUNTA(C$4:C1362))</f>
        <v>1348</v>
      </c>
      <c r="B1362" s="1" t="s">
        <v>2608</v>
      </c>
      <c r="C1362" s="1" t="s">
        <v>2609</v>
      </c>
      <c r="E1362">
        <f t="shared" si="21"/>
        <v>0</v>
      </c>
    </row>
    <row r="1363" spans="1:5">
      <c r="A1363" s="1">
        <f>IF(C1363="","",COUNTA(C$4:C1363))</f>
        <v>1349</v>
      </c>
      <c r="B1363" s="1" t="s">
        <v>2610</v>
      </c>
      <c r="C1363" s="1" t="s">
        <v>2611</v>
      </c>
      <c r="E1363">
        <f t="shared" si="21"/>
        <v>0</v>
      </c>
    </row>
    <row r="1364" spans="1:5">
      <c r="A1364" s="1">
        <f>IF(C1364="","",COUNTA(C$4:C1364))</f>
        <v>1350</v>
      </c>
      <c r="B1364" s="1" t="s">
        <v>2612</v>
      </c>
      <c r="C1364" s="1" t="s">
        <v>2613</v>
      </c>
      <c r="E1364">
        <f t="shared" si="21"/>
        <v>0</v>
      </c>
    </row>
    <row r="1365" spans="1:5">
      <c r="A1365" s="1">
        <f>IF(C1365="","",COUNTA(C$4:C1365))</f>
        <v>1351</v>
      </c>
      <c r="B1365" s="1" t="s">
        <v>2330</v>
      </c>
      <c r="C1365" s="1" t="s">
        <v>2614</v>
      </c>
      <c r="D1365" s="8"/>
      <c r="E1365">
        <f t="shared" si="21"/>
        <v>0</v>
      </c>
    </row>
    <row r="1366" spans="1:5">
      <c r="A1366" s="1">
        <f>IF(C1366="","",COUNTA(C$4:C1366))</f>
        <v>1352</v>
      </c>
      <c r="B1366" s="1" t="s">
        <v>2615</v>
      </c>
      <c r="C1366" s="1" t="s">
        <v>2616</v>
      </c>
      <c r="E1366">
        <f t="shared" si="21"/>
        <v>0</v>
      </c>
    </row>
    <row r="1367" spans="1:5">
      <c r="A1367" s="1">
        <f>IF(C1367="","",COUNTA(C$4:C1367))</f>
        <v>1353</v>
      </c>
      <c r="B1367" s="1" t="s">
        <v>2617</v>
      </c>
      <c r="C1367" s="1" t="s">
        <v>2618</v>
      </c>
      <c r="E1367">
        <f t="shared" si="21"/>
        <v>0</v>
      </c>
    </row>
    <row r="1368" spans="1:5">
      <c r="A1368" s="1">
        <f>IF(C1368="","",COUNTA(C$4:C1368))</f>
        <v>1354</v>
      </c>
      <c r="B1368" s="1" t="s">
        <v>2619</v>
      </c>
      <c r="C1368" s="1" t="s">
        <v>2620</v>
      </c>
      <c r="E1368">
        <f t="shared" si="21"/>
        <v>0</v>
      </c>
    </row>
    <row r="1369" spans="1:5">
      <c r="A1369" s="1">
        <f>IF(C1369="","",COUNTA(C$4:C1369))</f>
        <v>1355</v>
      </c>
      <c r="B1369" s="1" t="s">
        <v>2621</v>
      </c>
      <c r="C1369" s="1" t="s">
        <v>2622</v>
      </c>
      <c r="E1369">
        <f t="shared" si="21"/>
        <v>0</v>
      </c>
    </row>
    <row r="1370" spans="1:5">
      <c r="A1370" s="1">
        <f>IF(C1370="","",COUNTA(C$4:C1370))</f>
        <v>1356</v>
      </c>
      <c r="B1370" s="1" t="s">
        <v>2623</v>
      </c>
      <c r="C1370" s="1" t="s">
        <v>2624</v>
      </c>
      <c r="E1370">
        <f t="shared" si="21"/>
        <v>0</v>
      </c>
    </row>
    <row r="1371" spans="1:5">
      <c r="A1371" s="1">
        <f>IF(C1371="","",COUNTA(C$4:C1371))</f>
        <v>1357</v>
      </c>
      <c r="B1371" s="1" t="s">
        <v>2625</v>
      </c>
      <c r="C1371" s="1" t="s">
        <v>2626</v>
      </c>
      <c r="E1371">
        <f t="shared" si="21"/>
        <v>0</v>
      </c>
    </row>
    <row r="1372" spans="1:5">
      <c r="A1372" s="1">
        <f>IF(C1372="","",COUNTA(C$4:C1372))</f>
        <v>1358</v>
      </c>
      <c r="B1372" s="1" t="s">
        <v>2627</v>
      </c>
      <c r="C1372" s="1" t="s">
        <v>2628</v>
      </c>
      <c r="E1372">
        <f t="shared" si="21"/>
        <v>0</v>
      </c>
    </row>
    <row r="1373" spans="1:5">
      <c r="A1373" s="1">
        <f>IF(C1373="","",COUNTA(C$4:C1373))</f>
        <v>1359</v>
      </c>
      <c r="B1373" s="1" t="s">
        <v>2629</v>
      </c>
      <c r="C1373" s="1" t="s">
        <v>2630</v>
      </c>
      <c r="E1373">
        <f t="shared" si="21"/>
        <v>0</v>
      </c>
    </row>
    <row r="1374" spans="1:5">
      <c r="A1374" s="1">
        <f>IF(C1374="","",COUNTA(C$4:C1374))</f>
        <v>1360</v>
      </c>
      <c r="B1374" s="1" t="s">
        <v>2631</v>
      </c>
      <c r="C1374" s="1" t="s">
        <v>2632</v>
      </c>
      <c r="E1374">
        <f t="shared" si="21"/>
        <v>0</v>
      </c>
    </row>
    <row r="1375" spans="1:5">
      <c r="A1375" s="1">
        <f>IF(C1375="","",COUNTA(C$4:C1375))</f>
        <v>1361</v>
      </c>
      <c r="B1375" s="1" t="s">
        <v>2633</v>
      </c>
      <c r="C1375" s="1" t="s">
        <v>2634</v>
      </c>
      <c r="E1375">
        <f t="shared" si="21"/>
        <v>0</v>
      </c>
    </row>
    <row r="1376" spans="1:5">
      <c r="A1376" s="1">
        <f>IF(C1376="","",COUNTA(C$4:C1376))</f>
        <v>1362</v>
      </c>
      <c r="B1376" s="1" t="s">
        <v>2635</v>
      </c>
      <c r="C1376" s="1" t="s">
        <v>2636</v>
      </c>
      <c r="E1376">
        <f t="shared" si="21"/>
        <v>0</v>
      </c>
    </row>
    <row r="1377" spans="1:5">
      <c r="A1377" s="1">
        <f>IF(C1377="","",COUNTA(C$4:C1377))</f>
        <v>1363</v>
      </c>
      <c r="B1377" s="1" t="s">
        <v>2637</v>
      </c>
      <c r="C1377" s="1" t="s">
        <v>2638</v>
      </c>
      <c r="E1377">
        <f t="shared" si="21"/>
        <v>0</v>
      </c>
    </row>
    <row r="1378" spans="1:5">
      <c r="A1378" s="1">
        <f>IF(C1378="","",COUNTA(C$4:C1378))</f>
        <v>1364</v>
      </c>
      <c r="B1378" s="1" t="s">
        <v>2639</v>
      </c>
      <c r="C1378" s="1" t="s">
        <v>2640</v>
      </c>
      <c r="E1378">
        <f t="shared" si="21"/>
        <v>0</v>
      </c>
    </row>
    <row r="1379" spans="1:5">
      <c r="A1379" s="1">
        <f>IF(C1379="","",COUNTA(C$4:C1379))</f>
        <v>1365</v>
      </c>
      <c r="B1379" s="1" t="s">
        <v>2641</v>
      </c>
      <c r="C1379" s="1" t="s">
        <v>2642</v>
      </c>
      <c r="E1379">
        <f t="shared" si="21"/>
        <v>0</v>
      </c>
    </row>
    <row r="1380" spans="1:5">
      <c r="A1380" s="1">
        <f>IF(C1380="","",COUNTA(C$4:C1380))</f>
        <v>1366</v>
      </c>
      <c r="B1380" s="1" t="s">
        <v>2643</v>
      </c>
      <c r="C1380" s="1" t="s">
        <v>2644</v>
      </c>
      <c r="E1380">
        <f t="shared" si="21"/>
        <v>0</v>
      </c>
    </row>
    <row r="1381" spans="1:5">
      <c r="A1381" s="1">
        <f>IF(C1381="","",COUNTA(C$4:C1381))</f>
        <v>1367</v>
      </c>
      <c r="B1381" s="1" t="s">
        <v>2645</v>
      </c>
      <c r="C1381" s="1" t="s">
        <v>2646</v>
      </c>
      <c r="E1381">
        <f t="shared" si="21"/>
        <v>0</v>
      </c>
    </row>
    <row r="1382" spans="1:5">
      <c r="A1382" s="1">
        <f>IF(C1382="","",COUNTA(C$4:C1382))</f>
        <v>1368</v>
      </c>
      <c r="B1382" s="1" t="s">
        <v>2647</v>
      </c>
      <c r="C1382" s="1" t="s">
        <v>2648</v>
      </c>
      <c r="E1382">
        <f t="shared" si="21"/>
        <v>0</v>
      </c>
    </row>
    <row r="1383" spans="1:5">
      <c r="A1383" s="1">
        <f>IF(C1383="","",COUNTA(C$4:C1383))</f>
        <v>1369</v>
      </c>
      <c r="B1383" s="1" t="s">
        <v>2649</v>
      </c>
      <c r="C1383" s="1" t="s">
        <v>2650</v>
      </c>
      <c r="E1383">
        <f t="shared" si="21"/>
        <v>0</v>
      </c>
    </row>
    <row r="1384" spans="1:5">
      <c r="A1384" s="1">
        <f>IF(C1384="","",COUNTA(C$4:C1384))</f>
        <v>1370</v>
      </c>
      <c r="B1384" s="1" t="s">
        <v>2651</v>
      </c>
      <c r="C1384" s="1" t="s">
        <v>2652</v>
      </c>
      <c r="E1384">
        <f t="shared" si="21"/>
        <v>0</v>
      </c>
    </row>
    <row r="1385" spans="1:5">
      <c r="A1385" s="1">
        <f>IF(C1385="","",COUNTA(C$4:C1385))</f>
        <v>1371</v>
      </c>
      <c r="B1385" s="1" t="s">
        <v>2653</v>
      </c>
      <c r="C1385" s="1" t="s">
        <v>2654</v>
      </c>
      <c r="E1385">
        <f t="shared" si="21"/>
        <v>0</v>
      </c>
    </row>
    <row r="1386" spans="1:5">
      <c r="A1386" s="1">
        <f>IF(C1386="","",COUNTA(C$4:C1386))</f>
        <v>1372</v>
      </c>
      <c r="B1386" s="1" t="s">
        <v>2655</v>
      </c>
      <c r="C1386" s="1" t="s">
        <v>2656</v>
      </c>
      <c r="E1386">
        <f t="shared" si="21"/>
        <v>0</v>
      </c>
    </row>
    <row r="1387" spans="1:5">
      <c r="A1387" s="1">
        <f>IF(C1387="","",COUNTA(C$4:C1387))</f>
        <v>1373</v>
      </c>
      <c r="B1387" s="1" t="s">
        <v>2655</v>
      </c>
      <c r="C1387" s="1" t="s">
        <v>2657</v>
      </c>
      <c r="E1387">
        <f t="shared" si="21"/>
        <v>0</v>
      </c>
    </row>
    <row r="1388" spans="1:5">
      <c r="A1388" s="1">
        <f>IF(C1388="","",COUNTA(C$4:C1388))</f>
        <v>1374</v>
      </c>
      <c r="B1388" s="1" t="s">
        <v>2658</v>
      </c>
      <c r="C1388" s="1" t="s">
        <v>2659</v>
      </c>
      <c r="E1388">
        <f t="shared" si="21"/>
        <v>0</v>
      </c>
    </row>
    <row r="1389" spans="1:5">
      <c r="A1389" s="1">
        <f>IF(C1389="","",COUNTA(C$4:C1389))</f>
        <v>1375</v>
      </c>
      <c r="B1389" s="1" t="s">
        <v>2352</v>
      </c>
      <c r="C1389" s="1" t="s">
        <v>2660</v>
      </c>
      <c r="E1389">
        <f t="shared" si="21"/>
        <v>0</v>
      </c>
    </row>
    <row r="1390" spans="1:5">
      <c r="A1390" s="1">
        <f>IF(C1390="","",COUNTA(C$4:C1390))</f>
        <v>1376</v>
      </c>
      <c r="B1390" s="1" t="s">
        <v>2661</v>
      </c>
      <c r="C1390" s="1" t="s">
        <v>2662</v>
      </c>
      <c r="E1390">
        <f t="shared" si="21"/>
        <v>0</v>
      </c>
    </row>
    <row r="1391" spans="1:5">
      <c r="A1391" s="1">
        <f>IF(C1391="","",COUNTA(C$4:C1391))</f>
        <v>1377</v>
      </c>
      <c r="B1391" s="1" t="s">
        <v>2663</v>
      </c>
      <c r="C1391" s="1" t="s">
        <v>2664</v>
      </c>
      <c r="E1391">
        <f t="shared" si="21"/>
        <v>0</v>
      </c>
    </row>
    <row r="1392" spans="1:5">
      <c r="A1392" s="1">
        <f>IF(C1392="","",COUNTA(C$4:C1392))</f>
        <v>1378</v>
      </c>
      <c r="B1392" s="1" t="s">
        <v>2238</v>
      </c>
      <c r="C1392" s="1" t="s">
        <v>2665</v>
      </c>
      <c r="E1392">
        <f t="shared" si="21"/>
        <v>0</v>
      </c>
    </row>
    <row r="1393" spans="1:5">
      <c r="A1393" s="1">
        <f>IF(C1393="","",COUNTA(C$4:C1393))</f>
        <v>1379</v>
      </c>
      <c r="B1393" s="1" t="s">
        <v>2666</v>
      </c>
      <c r="C1393" s="1" t="s">
        <v>2667</v>
      </c>
      <c r="E1393">
        <f t="shared" si="21"/>
        <v>0</v>
      </c>
    </row>
    <row r="1394" spans="1:5">
      <c r="A1394" s="1">
        <f>IF(C1394="","",COUNTA(C$4:C1394))</f>
        <v>1380</v>
      </c>
      <c r="B1394" s="1" t="s">
        <v>2668</v>
      </c>
      <c r="C1394" s="1" t="s">
        <v>2669</v>
      </c>
      <c r="E1394">
        <f t="shared" si="21"/>
        <v>0</v>
      </c>
    </row>
    <row r="1395" spans="1:5">
      <c r="A1395" s="1">
        <f>IF(C1395="","",COUNTA(C$4:C1395))</f>
        <v>1381</v>
      </c>
      <c r="B1395" s="1" t="s">
        <v>2670</v>
      </c>
      <c r="C1395" s="1" t="s">
        <v>2671</v>
      </c>
      <c r="E1395">
        <f t="shared" si="21"/>
        <v>0</v>
      </c>
    </row>
    <row r="1396" spans="1:5">
      <c r="A1396" s="1">
        <f>IF(C1396="","",COUNTA(C$4:C1396))</f>
        <v>1382</v>
      </c>
      <c r="B1396" s="1" t="s">
        <v>2672</v>
      </c>
      <c r="C1396" s="1" t="s">
        <v>2673</v>
      </c>
      <c r="E1396">
        <f t="shared" si="21"/>
        <v>0</v>
      </c>
    </row>
    <row r="1397" spans="1:5">
      <c r="A1397" s="1">
        <f>IF(C1397="","",COUNTA(C$4:C1397))</f>
        <v>1383</v>
      </c>
      <c r="B1397" s="1" t="s">
        <v>2674</v>
      </c>
      <c r="C1397" s="1" t="s">
        <v>2675</v>
      </c>
      <c r="E1397">
        <f t="shared" si="21"/>
        <v>0</v>
      </c>
    </row>
    <row r="1398" spans="1:5">
      <c r="A1398" s="1">
        <f>IF(C1398="","",COUNTA(C$4:C1398))</f>
        <v>1384</v>
      </c>
      <c r="B1398" s="1" t="s">
        <v>2477</v>
      </c>
      <c r="C1398" s="1" t="s">
        <v>2676</v>
      </c>
      <c r="E1398">
        <f t="shared" si="21"/>
        <v>0</v>
      </c>
    </row>
    <row r="1399" spans="1:5">
      <c r="A1399" s="1">
        <f>IF(C1399="","",COUNTA(C$4:C1399))</f>
        <v>1385</v>
      </c>
      <c r="B1399" s="1" t="s">
        <v>2677</v>
      </c>
      <c r="C1399" s="1" t="s">
        <v>2678</v>
      </c>
      <c r="E1399">
        <f t="shared" si="21"/>
        <v>0</v>
      </c>
    </row>
    <row r="1400" spans="1:5">
      <c r="A1400" s="1">
        <f>IF(C1400="","",COUNTA(C$4:C1400))</f>
        <v>1386</v>
      </c>
      <c r="B1400" s="1" t="s">
        <v>2679</v>
      </c>
      <c r="C1400" s="1" t="s">
        <v>2680</v>
      </c>
      <c r="E1400">
        <f t="shared" si="21"/>
        <v>0</v>
      </c>
    </row>
    <row r="1401" spans="1:5">
      <c r="A1401" s="1">
        <f>IF(C1401="","",COUNTA(C$4:C1401))</f>
        <v>1387</v>
      </c>
      <c r="B1401" s="1" t="s">
        <v>2681</v>
      </c>
      <c r="C1401" s="1" t="s">
        <v>2682</v>
      </c>
      <c r="E1401">
        <f t="shared" si="21"/>
        <v>0</v>
      </c>
    </row>
    <row r="1402" spans="1:5">
      <c r="A1402" s="1">
        <f>IF(C1402="","",COUNTA(C$4:C1402))</f>
        <v>1388</v>
      </c>
      <c r="B1402" s="1" t="s">
        <v>2683</v>
      </c>
      <c r="C1402" s="1" t="s">
        <v>2684</v>
      </c>
      <c r="E1402">
        <f t="shared" si="21"/>
        <v>0</v>
      </c>
    </row>
    <row r="1403" spans="1:5">
      <c r="A1403" s="1">
        <f>IF(C1403="","",COUNTA(C$4:C1403))</f>
        <v>1389</v>
      </c>
      <c r="B1403" s="1" t="s">
        <v>2685</v>
      </c>
      <c r="C1403" s="1" t="s">
        <v>2686</v>
      </c>
      <c r="E1403">
        <f t="shared" si="21"/>
        <v>0</v>
      </c>
    </row>
    <row r="1404" spans="1:5">
      <c r="A1404" s="1">
        <f>IF(C1404="","",COUNTA(C$4:C1404))</f>
        <v>1390</v>
      </c>
      <c r="B1404" s="1" t="s">
        <v>2687</v>
      </c>
      <c r="C1404" s="1" t="s">
        <v>2688</v>
      </c>
      <c r="E1404">
        <f t="shared" si="21"/>
        <v>0</v>
      </c>
    </row>
    <row r="1405" spans="1:5">
      <c r="A1405" s="1">
        <f>IF(C1405="","",COUNTA(C$4:C1405))</f>
        <v>1391</v>
      </c>
      <c r="B1405" s="1" t="s">
        <v>2687</v>
      </c>
      <c r="C1405" s="1" t="s">
        <v>2689</v>
      </c>
      <c r="E1405">
        <f t="shared" si="21"/>
        <v>0</v>
      </c>
    </row>
    <row r="1406" spans="1:5">
      <c r="A1406" s="1">
        <f>IF(C1406="","",COUNTA(C$4:C1406))</f>
        <v>1392</v>
      </c>
      <c r="B1406" s="1" t="s">
        <v>2690</v>
      </c>
      <c r="C1406" s="1" t="s">
        <v>2691</v>
      </c>
      <c r="E1406">
        <f t="shared" si="21"/>
        <v>0</v>
      </c>
    </row>
    <row r="1407" spans="1:5">
      <c r="A1407" s="1">
        <f>IF(C1407="","",COUNTA(C$4:C1407))</f>
        <v>1393</v>
      </c>
      <c r="B1407" s="1" t="s">
        <v>2212</v>
      </c>
      <c r="C1407" s="1" t="s">
        <v>2692</v>
      </c>
      <c r="E1407">
        <f t="shared" si="21"/>
        <v>0</v>
      </c>
    </row>
    <row r="1408" spans="1:5">
      <c r="A1408" s="1">
        <f>IF(C1408="","",COUNTA(C$4:C1408))</f>
        <v>1394</v>
      </c>
      <c r="B1408" s="1" t="s">
        <v>2693</v>
      </c>
      <c r="C1408" s="1" t="s">
        <v>2694</v>
      </c>
      <c r="E1408">
        <f t="shared" si="21"/>
        <v>0</v>
      </c>
    </row>
    <row r="1409" spans="1:5">
      <c r="A1409" s="1">
        <f>IF(C1409="","",COUNTA(C$4:C1409))</f>
        <v>1395</v>
      </c>
      <c r="B1409" s="1" t="s">
        <v>2695</v>
      </c>
      <c r="C1409" s="1" t="s">
        <v>2696</v>
      </c>
      <c r="E1409">
        <f t="shared" si="21"/>
        <v>0</v>
      </c>
    </row>
    <row r="1410" spans="1:5">
      <c r="A1410" s="1">
        <f>IF(C1410="","",COUNTA(C$4:C1410))</f>
        <v>1396</v>
      </c>
      <c r="B1410" s="1" t="s">
        <v>2697</v>
      </c>
      <c r="C1410" s="1" t="s">
        <v>2698</v>
      </c>
      <c r="E1410">
        <f t="shared" si="21"/>
        <v>0</v>
      </c>
    </row>
    <row r="1411" spans="1:5">
      <c r="A1411" s="1">
        <f>IF(C1411="","",COUNTA(C$4:C1411))</f>
        <v>1397</v>
      </c>
      <c r="B1411" s="1" t="s">
        <v>2699</v>
      </c>
      <c r="C1411" s="1" t="s">
        <v>2700</v>
      </c>
      <c r="E1411">
        <f t="shared" si="21"/>
        <v>0</v>
      </c>
    </row>
    <row r="1412" spans="1:5">
      <c r="A1412" s="1">
        <f>IF(C1412="","",COUNTA(C$4:C1412))</f>
        <v>1398</v>
      </c>
      <c r="B1412" s="1" t="s">
        <v>2701</v>
      </c>
      <c r="C1412" s="1" t="s">
        <v>2702</v>
      </c>
      <c r="E1412">
        <f t="shared" si="21"/>
        <v>0</v>
      </c>
    </row>
    <row r="1413" spans="1:5">
      <c r="A1413" s="1">
        <f>IF(C1413="","",COUNTA(C$4:C1413))</f>
        <v>1399</v>
      </c>
      <c r="B1413" s="1" t="s">
        <v>2703</v>
      </c>
      <c r="C1413" s="1" t="s">
        <v>2704</v>
      </c>
      <c r="E1413">
        <f t="shared" ref="E1413:E1476" si="22">IF(C1413=D1413,1,0)</f>
        <v>0</v>
      </c>
    </row>
    <row r="1414" spans="1:5">
      <c r="A1414" s="1">
        <f>IF(C1414="","",COUNTA(C$4:C1414))</f>
        <v>1400</v>
      </c>
      <c r="B1414" s="1" t="s">
        <v>2705</v>
      </c>
      <c r="C1414" s="1" t="s">
        <v>2706</v>
      </c>
      <c r="E1414">
        <f t="shared" si="22"/>
        <v>0</v>
      </c>
    </row>
    <row r="1415" spans="1:5">
      <c r="A1415" s="1">
        <f>IF(C1415="","",COUNTA(C$4:C1415))</f>
        <v>1401</v>
      </c>
      <c r="B1415" s="1" t="s">
        <v>2465</v>
      </c>
      <c r="C1415" s="1" t="s">
        <v>2707</v>
      </c>
      <c r="E1415">
        <f t="shared" si="22"/>
        <v>0</v>
      </c>
    </row>
    <row r="1416" spans="1:5">
      <c r="A1416" s="1">
        <f>IF(C1416="","",COUNTA(C$4:C1416))</f>
        <v>1402</v>
      </c>
      <c r="B1416" s="1" t="s">
        <v>2708</v>
      </c>
      <c r="C1416" s="1" t="s">
        <v>2709</v>
      </c>
      <c r="E1416">
        <f t="shared" si="22"/>
        <v>0</v>
      </c>
    </row>
    <row r="1417" spans="1:5">
      <c r="A1417" s="1">
        <f>IF(C1417="","",COUNTA(C$4:C1417))</f>
        <v>1403</v>
      </c>
      <c r="B1417" s="1" t="s">
        <v>2710</v>
      </c>
      <c r="C1417" s="1" t="s">
        <v>2711</v>
      </c>
      <c r="E1417">
        <f t="shared" si="22"/>
        <v>0</v>
      </c>
    </row>
    <row r="1418" spans="1:5">
      <c r="A1418" s="1">
        <f>IF(C1418="","",COUNTA(C$4:C1418))</f>
        <v>1404</v>
      </c>
      <c r="B1418" s="1" t="s">
        <v>2712</v>
      </c>
      <c r="C1418" s="1" t="s">
        <v>2713</v>
      </c>
      <c r="E1418">
        <f t="shared" si="22"/>
        <v>0</v>
      </c>
    </row>
    <row r="1419" spans="1:5">
      <c r="A1419" s="1">
        <f>IF(C1419="","",COUNTA(C$4:C1419))</f>
        <v>1405</v>
      </c>
      <c r="B1419" s="1" t="s">
        <v>2714</v>
      </c>
      <c r="C1419" s="1" t="s">
        <v>2715</v>
      </c>
      <c r="E1419">
        <f t="shared" si="22"/>
        <v>0</v>
      </c>
    </row>
    <row r="1420" spans="1:5">
      <c r="A1420" s="1">
        <f>IF(C1420="","",COUNTA(C$4:C1420))</f>
        <v>1406</v>
      </c>
      <c r="B1420" s="1" t="s">
        <v>2716</v>
      </c>
      <c r="C1420" s="1" t="s">
        <v>2717</v>
      </c>
      <c r="E1420">
        <f t="shared" si="22"/>
        <v>0</v>
      </c>
    </row>
    <row r="1421" spans="1:5">
      <c r="A1421" s="1">
        <f>IF(C1421="","",COUNTA(C$4:C1421))</f>
        <v>1407</v>
      </c>
      <c r="B1421" s="1" t="s">
        <v>2718</v>
      </c>
      <c r="C1421" s="1" t="s">
        <v>2719</v>
      </c>
      <c r="E1421">
        <f t="shared" si="22"/>
        <v>0</v>
      </c>
    </row>
    <row r="1422" spans="1:5">
      <c r="A1422" s="1">
        <f>IF(C1422="","",COUNTA(C$4:C1422))</f>
        <v>1408</v>
      </c>
      <c r="B1422" s="1" t="s">
        <v>2296</v>
      </c>
      <c r="C1422" s="1" t="s">
        <v>2720</v>
      </c>
      <c r="E1422">
        <f t="shared" si="22"/>
        <v>0</v>
      </c>
    </row>
    <row r="1423" spans="1:5">
      <c r="A1423" s="1">
        <f>IF(C1423="","",COUNTA(C$4:C1423))</f>
        <v>1409</v>
      </c>
      <c r="B1423" s="1" t="s">
        <v>2721</v>
      </c>
      <c r="C1423" s="1" t="s">
        <v>2722</v>
      </c>
      <c r="E1423">
        <f t="shared" si="22"/>
        <v>0</v>
      </c>
    </row>
    <row r="1424" spans="1:5">
      <c r="A1424" s="1">
        <f>IF(C1424="","",COUNTA(C$4:C1424))</f>
        <v>1410</v>
      </c>
      <c r="B1424" s="1" t="s">
        <v>2723</v>
      </c>
      <c r="C1424" s="1" t="s">
        <v>2724</v>
      </c>
      <c r="E1424">
        <f t="shared" si="22"/>
        <v>0</v>
      </c>
    </row>
    <row r="1425" spans="1:5">
      <c r="A1425" s="1">
        <f>IF(C1425="","",COUNTA(C$4:C1425))</f>
        <v>1411</v>
      </c>
      <c r="B1425" s="1" t="s">
        <v>2725</v>
      </c>
      <c r="C1425" s="1" t="s">
        <v>2726</v>
      </c>
      <c r="E1425">
        <f t="shared" si="22"/>
        <v>0</v>
      </c>
    </row>
    <row r="1426" spans="1:5">
      <c r="A1426" s="1">
        <f>IF(C1426="","",COUNTA(C$4:C1426))</f>
        <v>1412</v>
      </c>
      <c r="B1426" s="1" t="s">
        <v>2727</v>
      </c>
      <c r="C1426" s="1" t="s">
        <v>2728</v>
      </c>
      <c r="E1426">
        <f t="shared" si="22"/>
        <v>0</v>
      </c>
    </row>
    <row r="1427" spans="1:5">
      <c r="A1427" s="1">
        <f>IF(C1427="","",COUNTA(C$4:C1427))</f>
        <v>1413</v>
      </c>
      <c r="B1427" s="1" t="s">
        <v>2729</v>
      </c>
      <c r="C1427" s="1" t="s">
        <v>2730</v>
      </c>
      <c r="E1427">
        <f t="shared" si="22"/>
        <v>0</v>
      </c>
    </row>
    <row r="1428" spans="1:5">
      <c r="A1428" s="1">
        <f>IF(C1428="","",COUNTA(C$4:C1428))</f>
        <v>1414</v>
      </c>
      <c r="B1428" s="1" t="s">
        <v>2731</v>
      </c>
      <c r="C1428" s="1" t="s">
        <v>2732</v>
      </c>
      <c r="E1428">
        <f t="shared" si="22"/>
        <v>0</v>
      </c>
    </row>
    <row r="1429" spans="1:5">
      <c r="A1429" s="1">
        <f>IF(C1429="","",COUNTA(C$4:C1429))</f>
        <v>1415</v>
      </c>
      <c r="B1429" s="1" t="s">
        <v>2647</v>
      </c>
      <c r="C1429" s="1" t="s">
        <v>2733</v>
      </c>
      <c r="E1429">
        <f t="shared" si="22"/>
        <v>0</v>
      </c>
    </row>
    <row r="1430" spans="1:5">
      <c r="A1430" s="1">
        <f>IF(C1430="","",COUNTA(C$4:C1430))</f>
        <v>1416</v>
      </c>
      <c r="B1430" s="1" t="s">
        <v>2734</v>
      </c>
      <c r="C1430" s="1" t="s">
        <v>2735</v>
      </c>
      <c r="E1430">
        <f t="shared" si="22"/>
        <v>0</v>
      </c>
    </row>
    <row r="1431" spans="1:5">
      <c r="A1431" s="1">
        <f>IF(C1431="","",COUNTA(C$4:C1431))</f>
        <v>1417</v>
      </c>
      <c r="B1431" s="1" t="s">
        <v>2736</v>
      </c>
      <c r="C1431" s="1" t="s">
        <v>2737</v>
      </c>
      <c r="E1431">
        <f t="shared" si="22"/>
        <v>0</v>
      </c>
    </row>
    <row r="1432" spans="1:5">
      <c r="A1432" s="1">
        <f>IF(C1432="","",COUNTA(C$4:C1432))</f>
        <v>1418</v>
      </c>
      <c r="B1432" s="1" t="s">
        <v>2738</v>
      </c>
      <c r="C1432" s="1" t="s">
        <v>2739</v>
      </c>
      <c r="E1432">
        <f t="shared" si="22"/>
        <v>0</v>
      </c>
    </row>
    <row r="1433" spans="1:5">
      <c r="A1433" s="1">
        <f>IF(C1433="","",COUNTA(C$4:C1433))</f>
        <v>1419</v>
      </c>
      <c r="B1433" s="1" t="s">
        <v>2734</v>
      </c>
      <c r="C1433" s="1" t="s">
        <v>2740</v>
      </c>
      <c r="E1433">
        <f t="shared" si="22"/>
        <v>0</v>
      </c>
    </row>
    <row r="1434" spans="1:5">
      <c r="A1434" s="1">
        <f>IF(C1434="","",COUNTA(C$4:C1434))</f>
        <v>1420</v>
      </c>
      <c r="B1434" s="1" t="s">
        <v>2741</v>
      </c>
      <c r="C1434" s="1" t="s">
        <v>2742</v>
      </c>
      <c r="E1434">
        <f t="shared" si="22"/>
        <v>0</v>
      </c>
    </row>
    <row r="1435" spans="1:5">
      <c r="A1435" s="1">
        <f>IF(C1435="","",COUNTA(C$4:C1435))</f>
        <v>1421</v>
      </c>
      <c r="B1435" s="1" t="s">
        <v>2743</v>
      </c>
      <c r="C1435" s="1" t="s">
        <v>2744</v>
      </c>
      <c r="E1435">
        <f t="shared" si="22"/>
        <v>0</v>
      </c>
    </row>
    <row r="1436" spans="1:5">
      <c r="A1436" s="1">
        <f>IF(C1436="","",COUNTA(C$4:C1436))</f>
        <v>1422</v>
      </c>
      <c r="B1436" s="1" t="s">
        <v>2743</v>
      </c>
      <c r="C1436" s="1" t="s">
        <v>2745</v>
      </c>
      <c r="E1436">
        <f t="shared" si="22"/>
        <v>0</v>
      </c>
    </row>
    <row r="1437" spans="1:5">
      <c r="A1437" s="1">
        <f>IF(C1437="","",COUNTA(C$4:C1437))</f>
        <v>1423</v>
      </c>
      <c r="B1437" s="1" t="s">
        <v>2746</v>
      </c>
      <c r="C1437" s="1" t="s">
        <v>2747</v>
      </c>
      <c r="E1437">
        <f t="shared" si="22"/>
        <v>0</v>
      </c>
    </row>
    <row r="1438" spans="1:5">
      <c r="A1438" s="1">
        <f>IF(C1438="","",COUNTA(C$4:C1438))</f>
        <v>1424</v>
      </c>
      <c r="B1438" s="1" t="s">
        <v>2555</v>
      </c>
      <c r="C1438" s="1" t="s">
        <v>2748</v>
      </c>
      <c r="E1438">
        <f t="shared" si="22"/>
        <v>0</v>
      </c>
    </row>
    <row r="1439" spans="1:5">
      <c r="A1439" s="1">
        <f>IF(C1439="","",COUNTA(C$4:C1439))</f>
        <v>1425</v>
      </c>
      <c r="B1439" s="1" t="s">
        <v>2749</v>
      </c>
      <c r="C1439" s="1" t="s">
        <v>2750</v>
      </c>
      <c r="E1439">
        <f t="shared" si="22"/>
        <v>0</v>
      </c>
    </row>
    <row r="1440" spans="1:5">
      <c r="A1440" s="1">
        <f>IF(C1440="","",COUNTA(C$4:C1440))</f>
        <v>1426</v>
      </c>
      <c r="B1440" s="1" t="s">
        <v>2751</v>
      </c>
      <c r="C1440" s="1" t="s">
        <v>2752</v>
      </c>
      <c r="E1440">
        <f t="shared" si="22"/>
        <v>0</v>
      </c>
    </row>
    <row r="1441" spans="1:5">
      <c r="A1441" s="1">
        <f>IF(C1441="","",COUNTA(C$4:C1441))</f>
        <v>1427</v>
      </c>
      <c r="B1441" s="1" t="s">
        <v>2753</v>
      </c>
      <c r="C1441" s="1" t="s">
        <v>2754</v>
      </c>
      <c r="E1441">
        <f t="shared" si="22"/>
        <v>0</v>
      </c>
    </row>
    <row r="1442" spans="1:5">
      <c r="A1442" s="1">
        <f>IF(C1442="","",COUNTA(C$4:C1442))</f>
        <v>1428</v>
      </c>
      <c r="B1442" s="1" t="s">
        <v>2755</v>
      </c>
      <c r="C1442" s="1" t="s">
        <v>2756</v>
      </c>
      <c r="E1442">
        <f t="shared" si="22"/>
        <v>0</v>
      </c>
    </row>
    <row r="1443" spans="1:5">
      <c r="A1443" s="1">
        <f>IF(C1443="","",COUNTA(C$4:C1443))</f>
        <v>1429</v>
      </c>
      <c r="B1443" s="1" t="s">
        <v>2757</v>
      </c>
      <c r="C1443" s="1" t="s">
        <v>2758</v>
      </c>
      <c r="E1443">
        <f t="shared" si="22"/>
        <v>0</v>
      </c>
    </row>
    <row r="1444" spans="1:5">
      <c r="A1444" s="1">
        <f>IF(C1444="","",COUNTA(C$4:C1444))</f>
        <v>1430</v>
      </c>
      <c r="B1444" s="1" t="s">
        <v>2759</v>
      </c>
      <c r="C1444" s="1" t="s">
        <v>2760</v>
      </c>
      <c r="E1444">
        <f t="shared" si="22"/>
        <v>0</v>
      </c>
    </row>
    <row r="1445" spans="1:5">
      <c r="A1445" s="1">
        <f>IF(C1445="","",COUNTA(C$4:C1445))</f>
        <v>1431</v>
      </c>
      <c r="B1445" s="1" t="s">
        <v>2761</v>
      </c>
      <c r="C1445" s="1" t="s">
        <v>2762</v>
      </c>
      <c r="E1445">
        <f t="shared" si="22"/>
        <v>0</v>
      </c>
    </row>
    <row r="1446" spans="1:5">
      <c r="A1446" s="1">
        <f>IF(C1446="","",COUNTA(C$4:C1446))</f>
        <v>1432</v>
      </c>
      <c r="B1446" s="1" t="s">
        <v>2763</v>
      </c>
      <c r="C1446" s="1" t="s">
        <v>2764</v>
      </c>
      <c r="E1446">
        <f t="shared" si="22"/>
        <v>0</v>
      </c>
    </row>
    <row r="1447" spans="1:5">
      <c r="A1447" s="1">
        <f>IF(C1447="","",COUNTA(C$4:C1447))</f>
        <v>1433</v>
      </c>
      <c r="B1447" s="1" t="s">
        <v>2765</v>
      </c>
      <c r="C1447" s="1" t="s">
        <v>2766</v>
      </c>
      <c r="E1447">
        <f t="shared" si="22"/>
        <v>0</v>
      </c>
    </row>
    <row r="1448" spans="1:5">
      <c r="A1448" s="1">
        <f>IF(C1448="","",COUNTA(C$4:C1448))</f>
        <v>1434</v>
      </c>
      <c r="B1448" s="1" t="s">
        <v>2767</v>
      </c>
      <c r="C1448" s="1" t="s">
        <v>2768</v>
      </c>
      <c r="E1448">
        <f t="shared" si="22"/>
        <v>0</v>
      </c>
    </row>
    <row r="1449" spans="1:5">
      <c r="A1449" s="1">
        <f>IF(C1449="","",COUNTA(C$4:C1449))</f>
        <v>1435</v>
      </c>
      <c r="B1449" s="1" t="s">
        <v>2769</v>
      </c>
      <c r="C1449" s="1" t="s">
        <v>2770</v>
      </c>
      <c r="E1449">
        <f t="shared" si="22"/>
        <v>0</v>
      </c>
    </row>
    <row r="1450" spans="1:5">
      <c r="A1450" s="1">
        <f>IF(C1450="","",COUNTA(C$4:C1450))</f>
        <v>1436</v>
      </c>
      <c r="B1450" s="1" t="s">
        <v>2771</v>
      </c>
      <c r="C1450" s="1" t="s">
        <v>2772</v>
      </c>
      <c r="E1450">
        <f t="shared" si="22"/>
        <v>0</v>
      </c>
    </row>
    <row r="1451" spans="1:5">
      <c r="A1451" s="1">
        <f>IF(C1451="","",COUNTA(C$4:C1451))</f>
        <v>1437</v>
      </c>
      <c r="B1451" s="1" t="s">
        <v>2773</v>
      </c>
      <c r="C1451" s="1" t="s">
        <v>2774</v>
      </c>
      <c r="E1451">
        <f t="shared" si="22"/>
        <v>0</v>
      </c>
    </row>
    <row r="1452" spans="1:5">
      <c r="A1452" s="1">
        <f>IF(C1452="","",COUNTA(C$4:C1452))</f>
        <v>1438</v>
      </c>
      <c r="B1452" s="1" t="s">
        <v>2775</v>
      </c>
      <c r="C1452" s="1" t="s">
        <v>2776</v>
      </c>
      <c r="E1452">
        <f t="shared" si="22"/>
        <v>0</v>
      </c>
    </row>
    <row r="1453" spans="1:5">
      <c r="A1453" s="1">
        <f>IF(C1453="","",COUNTA(C$4:C1453))</f>
        <v>1439</v>
      </c>
      <c r="B1453" s="1" t="s">
        <v>2777</v>
      </c>
      <c r="C1453" s="1" t="s">
        <v>2778</v>
      </c>
      <c r="E1453">
        <f t="shared" si="22"/>
        <v>0</v>
      </c>
    </row>
    <row r="1454" spans="1:5">
      <c r="A1454" s="1">
        <f>IF(C1454="","",COUNTA(C$4:C1454))</f>
        <v>1440</v>
      </c>
      <c r="B1454" s="1" t="s">
        <v>2779</v>
      </c>
      <c r="C1454" s="1" t="s">
        <v>2780</v>
      </c>
      <c r="E1454">
        <f t="shared" si="22"/>
        <v>0</v>
      </c>
    </row>
    <row r="1455" spans="1:5">
      <c r="A1455" s="1">
        <f>IF(C1455="","",COUNTA(C$4:C1455))</f>
        <v>1441</v>
      </c>
      <c r="B1455" s="1" t="s">
        <v>2781</v>
      </c>
      <c r="C1455" s="1" t="s">
        <v>2782</v>
      </c>
      <c r="E1455">
        <f t="shared" si="22"/>
        <v>0</v>
      </c>
    </row>
    <row r="1456" spans="1:5">
      <c r="A1456" s="1">
        <f>IF(C1456="","",COUNTA(C$4:C1456))</f>
        <v>1442</v>
      </c>
      <c r="B1456" s="1" t="s">
        <v>2783</v>
      </c>
      <c r="C1456" s="1" t="s">
        <v>2784</v>
      </c>
      <c r="E1456">
        <f t="shared" si="22"/>
        <v>0</v>
      </c>
    </row>
    <row r="1457" spans="1:5">
      <c r="A1457" s="1">
        <f>IF(C1457="","",COUNTA(C$4:C1457))</f>
        <v>1443</v>
      </c>
      <c r="B1457" s="1" t="s">
        <v>2785</v>
      </c>
      <c r="C1457" s="1" t="s">
        <v>2786</v>
      </c>
      <c r="E1457">
        <f t="shared" si="22"/>
        <v>0</v>
      </c>
    </row>
    <row r="1458" spans="1:5">
      <c r="A1458" s="1">
        <f>IF(C1458="","",COUNTA(C$4:C1458))</f>
        <v>1444</v>
      </c>
      <c r="B1458" s="1" t="s">
        <v>2787</v>
      </c>
      <c r="C1458" s="1" t="s">
        <v>2788</v>
      </c>
      <c r="E1458">
        <f t="shared" si="22"/>
        <v>0</v>
      </c>
    </row>
    <row r="1459" spans="1:5">
      <c r="A1459" s="1">
        <f>IF(C1459="","",COUNTA(C$4:C1459))</f>
        <v>1445</v>
      </c>
      <c r="B1459" s="1" t="s">
        <v>2789</v>
      </c>
      <c r="C1459" s="1" t="s">
        <v>2790</v>
      </c>
      <c r="E1459">
        <f t="shared" si="22"/>
        <v>0</v>
      </c>
    </row>
    <row r="1460" spans="1:5">
      <c r="A1460" s="1">
        <f>IF(C1460="","",COUNTA(C$4:C1460))</f>
        <v>1446</v>
      </c>
      <c r="B1460" s="1" t="s">
        <v>2791</v>
      </c>
      <c r="C1460" s="1" t="s">
        <v>2792</v>
      </c>
      <c r="E1460">
        <f t="shared" si="22"/>
        <v>0</v>
      </c>
    </row>
    <row r="1461" spans="1:5">
      <c r="A1461" s="1">
        <f>IF(C1461="","",COUNTA(C$4:C1461))</f>
        <v>1447</v>
      </c>
      <c r="B1461" s="1" t="s">
        <v>2793</v>
      </c>
      <c r="C1461" s="1" t="s">
        <v>2794</v>
      </c>
      <c r="E1461">
        <f t="shared" si="22"/>
        <v>0</v>
      </c>
    </row>
    <row r="1462" spans="1:5">
      <c r="A1462" s="1">
        <f>IF(C1462="","",COUNTA(C$4:C1462))</f>
        <v>1448</v>
      </c>
      <c r="B1462" s="1" t="s">
        <v>2795</v>
      </c>
      <c r="C1462" s="1" t="s">
        <v>2796</v>
      </c>
      <c r="E1462">
        <f t="shared" si="22"/>
        <v>0</v>
      </c>
    </row>
    <row r="1463" spans="1:5">
      <c r="A1463" s="1">
        <f>IF(C1463="","",COUNTA(C$4:C1463))</f>
        <v>1449</v>
      </c>
      <c r="B1463" s="1" t="s">
        <v>2797</v>
      </c>
      <c r="C1463" s="1" t="s">
        <v>2798</v>
      </c>
      <c r="E1463">
        <f t="shared" si="22"/>
        <v>0</v>
      </c>
    </row>
    <row r="1464" spans="1:5">
      <c r="A1464" s="1">
        <f>IF(C1464="","",COUNTA(C$4:C1464))</f>
        <v>1450</v>
      </c>
      <c r="B1464" s="1" t="s">
        <v>2799</v>
      </c>
      <c r="C1464" s="1" t="s">
        <v>2800</v>
      </c>
      <c r="E1464">
        <f t="shared" si="22"/>
        <v>0</v>
      </c>
    </row>
    <row r="1465" spans="1:5">
      <c r="A1465" s="1">
        <f>IF(C1465="","",COUNTA(C$4:C1465))</f>
        <v>1451</v>
      </c>
      <c r="B1465" s="1" t="s">
        <v>2801</v>
      </c>
      <c r="C1465" s="1" t="s">
        <v>2802</v>
      </c>
      <c r="E1465">
        <f t="shared" si="22"/>
        <v>0</v>
      </c>
    </row>
    <row r="1466" spans="1:5">
      <c r="A1466" s="1">
        <f>IF(C1466="","",COUNTA(C$4:C1466))</f>
        <v>1452</v>
      </c>
      <c r="B1466" s="1" t="s">
        <v>2453</v>
      </c>
      <c r="C1466" s="1" t="s">
        <v>2803</v>
      </c>
      <c r="E1466">
        <f t="shared" si="22"/>
        <v>0</v>
      </c>
    </row>
    <row r="1467" spans="1:5">
      <c r="A1467" s="1">
        <f>IF(C1467="","",COUNTA(C$4:C1467))</f>
        <v>1453</v>
      </c>
      <c r="B1467" s="1" t="s">
        <v>2804</v>
      </c>
      <c r="C1467" s="1" t="s">
        <v>2805</v>
      </c>
      <c r="E1467">
        <f t="shared" si="22"/>
        <v>0</v>
      </c>
    </row>
    <row r="1468" spans="1:5">
      <c r="A1468" s="1">
        <f>IF(C1468="","",COUNTA(C$4:C1468))</f>
        <v>1454</v>
      </c>
      <c r="B1468" s="1" t="s">
        <v>2806</v>
      </c>
      <c r="C1468" s="1" t="s">
        <v>2807</v>
      </c>
      <c r="E1468">
        <f t="shared" si="22"/>
        <v>0</v>
      </c>
    </row>
    <row r="1469" spans="1:5">
      <c r="A1469" s="1">
        <f>IF(C1469="","",COUNTA(C$4:C1469))</f>
        <v>1455</v>
      </c>
      <c r="B1469" s="1" t="s">
        <v>2808</v>
      </c>
      <c r="C1469" s="1" t="s">
        <v>2809</v>
      </c>
      <c r="E1469">
        <f t="shared" si="22"/>
        <v>0</v>
      </c>
    </row>
    <row r="1470" spans="1:5">
      <c r="A1470" s="1">
        <f>IF(C1470="","",COUNTA(C$4:C1470))</f>
        <v>1456</v>
      </c>
      <c r="B1470" s="1" t="s">
        <v>2810</v>
      </c>
      <c r="C1470" s="1" t="s">
        <v>2811</v>
      </c>
      <c r="E1470">
        <f t="shared" si="22"/>
        <v>0</v>
      </c>
    </row>
    <row r="1471" spans="1:5">
      <c r="A1471" s="1">
        <f>IF(C1471="","",COUNTA(C$4:C1471))</f>
        <v>1457</v>
      </c>
      <c r="B1471" s="1" t="s">
        <v>2812</v>
      </c>
      <c r="C1471" s="1" t="s">
        <v>2813</v>
      </c>
      <c r="E1471">
        <f t="shared" si="22"/>
        <v>0</v>
      </c>
    </row>
    <row r="1472" spans="1:5">
      <c r="A1472" s="1">
        <f>IF(C1472="","",COUNTA(C$4:C1472))</f>
        <v>1458</v>
      </c>
      <c r="B1472" s="1" t="s">
        <v>2814</v>
      </c>
      <c r="C1472" s="1" t="s">
        <v>2815</v>
      </c>
      <c r="E1472">
        <f t="shared" si="22"/>
        <v>0</v>
      </c>
    </row>
    <row r="1473" spans="1:5">
      <c r="A1473" s="1">
        <f>IF(C1473="","",COUNTA(C$4:C1473))</f>
        <v>1459</v>
      </c>
      <c r="B1473" s="1" t="s">
        <v>2816</v>
      </c>
      <c r="C1473" s="1" t="s">
        <v>2817</v>
      </c>
      <c r="E1473">
        <f t="shared" si="22"/>
        <v>0</v>
      </c>
    </row>
    <row r="1474" spans="1:5">
      <c r="A1474" s="1">
        <f>IF(C1474="","",COUNTA(C$4:C1474))</f>
        <v>1460</v>
      </c>
      <c r="B1474" s="1" t="s">
        <v>2818</v>
      </c>
      <c r="C1474" s="1" t="s">
        <v>2819</v>
      </c>
      <c r="E1474">
        <f t="shared" si="22"/>
        <v>0</v>
      </c>
    </row>
    <row r="1475" spans="1:5">
      <c r="A1475" s="1">
        <f>IF(C1475="","",COUNTA(C$4:C1475))</f>
        <v>1461</v>
      </c>
      <c r="B1475" s="1" t="s">
        <v>2820</v>
      </c>
      <c r="C1475" s="1" t="s">
        <v>2821</v>
      </c>
      <c r="E1475">
        <f t="shared" si="22"/>
        <v>0</v>
      </c>
    </row>
    <row r="1476" spans="1:5">
      <c r="A1476" s="1">
        <f>IF(C1476="","",COUNTA(C$4:C1476))</f>
        <v>1462</v>
      </c>
      <c r="B1476" s="1" t="s">
        <v>2822</v>
      </c>
      <c r="C1476" s="1" t="s">
        <v>2823</v>
      </c>
      <c r="E1476">
        <f t="shared" si="22"/>
        <v>0</v>
      </c>
    </row>
    <row r="1477" spans="1:5">
      <c r="A1477" s="1">
        <f>IF(C1477="","",COUNTA(C$4:C1477))</f>
        <v>1463</v>
      </c>
      <c r="B1477" s="1" t="s">
        <v>2824</v>
      </c>
      <c r="C1477" s="1" t="s">
        <v>2825</v>
      </c>
      <c r="E1477">
        <f t="shared" ref="E1477:E1540" si="23">IF(C1477=D1477,1,0)</f>
        <v>0</v>
      </c>
    </row>
    <row r="1478" spans="1:5">
      <c r="A1478" s="1">
        <f>IF(C1478="","",COUNTA(C$4:C1478))</f>
        <v>1464</v>
      </c>
      <c r="B1478" s="1" t="s">
        <v>2826</v>
      </c>
      <c r="C1478" s="1" t="s">
        <v>2827</v>
      </c>
      <c r="E1478">
        <f t="shared" si="23"/>
        <v>0</v>
      </c>
    </row>
    <row r="1479" spans="1:5">
      <c r="A1479" s="1">
        <f>IF(C1479="","",COUNTA(C$4:C1479))</f>
        <v>1465</v>
      </c>
      <c r="B1479" s="1" t="s">
        <v>2579</v>
      </c>
      <c r="C1479" s="1" t="s">
        <v>2828</v>
      </c>
      <c r="E1479">
        <f t="shared" si="23"/>
        <v>0</v>
      </c>
    </row>
    <row r="1480" spans="1:5">
      <c r="A1480" s="1">
        <f>IF(C1480="","",COUNTA(C$4:C1480))</f>
        <v>1466</v>
      </c>
      <c r="B1480" s="1" t="s">
        <v>2270</v>
      </c>
      <c r="C1480" s="1" t="s">
        <v>2829</v>
      </c>
      <c r="E1480">
        <f t="shared" si="23"/>
        <v>0</v>
      </c>
    </row>
    <row r="1481" spans="1:5">
      <c r="A1481" s="1">
        <f>IF(C1481="","",COUNTA(C$4:C1481))</f>
        <v>1467</v>
      </c>
      <c r="B1481" s="1" t="s">
        <v>2212</v>
      </c>
      <c r="C1481" s="1" t="s">
        <v>2830</v>
      </c>
      <c r="E1481">
        <f t="shared" si="23"/>
        <v>0</v>
      </c>
    </row>
    <row r="1482" spans="1:5">
      <c r="A1482" s="1">
        <f>IF(C1482="","",COUNTA(C$4:C1482))</f>
        <v>1468</v>
      </c>
      <c r="B1482" s="1" t="s">
        <v>2831</v>
      </c>
      <c r="C1482" s="1" t="s">
        <v>2832</v>
      </c>
      <c r="E1482">
        <f t="shared" si="23"/>
        <v>0</v>
      </c>
    </row>
    <row r="1483" spans="1:5">
      <c r="A1483" s="1">
        <f>IF(C1483="","",COUNTA(C$4:C1483))</f>
        <v>1469</v>
      </c>
      <c r="B1483" s="1" t="s">
        <v>2833</v>
      </c>
      <c r="C1483" s="1" t="s">
        <v>2834</v>
      </c>
      <c r="E1483">
        <f t="shared" si="23"/>
        <v>0</v>
      </c>
    </row>
    <row r="1484" spans="1:5">
      <c r="A1484" s="12" t="s">
        <v>2835</v>
      </c>
      <c r="B1484" s="13"/>
      <c r="C1484" s="14"/>
      <c r="D1484" s="9"/>
      <c r="E1484">
        <f t="shared" si="23"/>
        <v>1</v>
      </c>
    </row>
    <row r="1485" spans="1:5">
      <c r="A1485" s="1">
        <f>IF(C1485="","",COUNTA(C$4:C1485))</f>
        <v>1470</v>
      </c>
      <c r="B1485" s="1" t="s">
        <v>2836</v>
      </c>
      <c r="C1485" s="1" t="s">
        <v>2837</v>
      </c>
      <c r="E1485">
        <f t="shared" si="23"/>
        <v>0</v>
      </c>
    </row>
    <row r="1486" spans="1:5">
      <c r="A1486" s="1">
        <f>IF(C1486="","",COUNTA(C$4:C1486))</f>
        <v>1471</v>
      </c>
      <c r="B1486" s="1" t="s">
        <v>2838</v>
      </c>
      <c r="C1486" s="1" t="s">
        <v>2839</v>
      </c>
      <c r="E1486">
        <f t="shared" si="23"/>
        <v>0</v>
      </c>
    </row>
    <row r="1487" spans="1:5">
      <c r="A1487" s="1">
        <f>IF(C1487="","",COUNTA(C$4:C1487))</f>
        <v>1472</v>
      </c>
      <c r="B1487" s="1" t="s">
        <v>2840</v>
      </c>
      <c r="C1487" s="1" t="s">
        <v>2841</v>
      </c>
      <c r="E1487">
        <f t="shared" si="23"/>
        <v>0</v>
      </c>
    </row>
    <row r="1488" spans="1:5">
      <c r="A1488" s="1">
        <f>IF(C1488="","",COUNTA(C$4:C1488))</f>
        <v>1473</v>
      </c>
      <c r="B1488" s="1" t="s">
        <v>2842</v>
      </c>
      <c r="C1488" s="1" t="s">
        <v>2843</v>
      </c>
      <c r="E1488">
        <f t="shared" si="23"/>
        <v>0</v>
      </c>
    </row>
    <row r="1489" spans="1:5">
      <c r="A1489" s="1">
        <f>IF(C1489="","",COUNTA(C$4:C1489))</f>
        <v>1474</v>
      </c>
      <c r="B1489" s="1" t="s">
        <v>2844</v>
      </c>
      <c r="C1489" s="1" t="s">
        <v>2845</v>
      </c>
      <c r="E1489">
        <f t="shared" si="23"/>
        <v>0</v>
      </c>
    </row>
    <row r="1490" spans="1:5">
      <c r="A1490" s="1">
        <f>IF(C1490="","",COUNTA(C$4:C1490))</f>
        <v>1475</v>
      </c>
      <c r="B1490" s="1" t="s">
        <v>2846</v>
      </c>
      <c r="C1490" s="1" t="s">
        <v>2847</v>
      </c>
      <c r="E1490">
        <f t="shared" si="23"/>
        <v>0</v>
      </c>
    </row>
    <row r="1491" spans="1:5">
      <c r="A1491" s="1">
        <f>IF(C1491="","",COUNTA(C$4:C1491))</f>
        <v>1476</v>
      </c>
      <c r="B1491" s="1" t="s">
        <v>2848</v>
      </c>
      <c r="C1491" s="1" t="s">
        <v>2849</v>
      </c>
      <c r="E1491">
        <f t="shared" si="23"/>
        <v>0</v>
      </c>
    </row>
    <row r="1492" spans="1:5">
      <c r="A1492" s="1">
        <f>IF(C1492="","",COUNTA(C$4:C1492))</f>
        <v>1477</v>
      </c>
      <c r="B1492" s="1" t="s">
        <v>2850</v>
      </c>
      <c r="C1492" s="1" t="s">
        <v>2851</v>
      </c>
      <c r="E1492">
        <f t="shared" si="23"/>
        <v>0</v>
      </c>
    </row>
    <row r="1493" spans="1:5">
      <c r="A1493" s="1">
        <f>IF(C1493="","",COUNTA(C$4:C1493))</f>
        <v>1478</v>
      </c>
      <c r="B1493" s="1" t="s">
        <v>2852</v>
      </c>
      <c r="C1493" s="1" t="s">
        <v>2853</v>
      </c>
      <c r="E1493">
        <f t="shared" si="23"/>
        <v>0</v>
      </c>
    </row>
    <row r="1494" spans="1:5">
      <c r="A1494" s="1">
        <f>IF(C1494="","",COUNTA(C$4:C1494))</f>
        <v>1479</v>
      </c>
      <c r="B1494" s="1" t="s">
        <v>2854</v>
      </c>
      <c r="C1494" s="1" t="s">
        <v>2855</v>
      </c>
      <c r="E1494">
        <f t="shared" si="23"/>
        <v>0</v>
      </c>
    </row>
    <row r="1495" spans="1:5">
      <c r="A1495" s="1">
        <f>IF(C1495="","",COUNTA(C$4:C1495))</f>
        <v>1480</v>
      </c>
      <c r="B1495" s="1" t="s">
        <v>2856</v>
      </c>
      <c r="C1495" s="1" t="s">
        <v>2857</v>
      </c>
      <c r="E1495">
        <f t="shared" si="23"/>
        <v>0</v>
      </c>
    </row>
    <row r="1496" spans="1:5">
      <c r="A1496" s="1">
        <f>IF(C1496="","",COUNTA(C$4:C1496))</f>
        <v>1481</v>
      </c>
      <c r="B1496" s="1" t="s">
        <v>2858</v>
      </c>
      <c r="C1496" s="1" t="s">
        <v>2859</v>
      </c>
      <c r="E1496">
        <f t="shared" si="23"/>
        <v>0</v>
      </c>
    </row>
    <row r="1497" spans="1:5">
      <c r="A1497" s="12" t="s">
        <v>2860</v>
      </c>
      <c r="B1497" s="13"/>
      <c r="C1497" s="14"/>
      <c r="D1497" s="9"/>
      <c r="E1497">
        <f t="shared" si="23"/>
        <v>1</v>
      </c>
    </row>
    <row r="1498" spans="1:5">
      <c r="A1498" s="1">
        <f>IF(C1498="","",COUNTA(C$4:C1498))</f>
        <v>1482</v>
      </c>
      <c r="B1498" s="1" t="s">
        <v>2861</v>
      </c>
      <c r="C1498" s="1" t="s">
        <v>2862</v>
      </c>
      <c r="E1498">
        <f t="shared" si="23"/>
        <v>0</v>
      </c>
    </row>
    <row r="1499" spans="1:5">
      <c r="A1499" s="1">
        <f>IF(C1499="","",COUNTA(C$4:C1499))</f>
        <v>1483</v>
      </c>
      <c r="B1499" s="1" t="s">
        <v>2863</v>
      </c>
      <c r="C1499" s="1" t="s">
        <v>2864</v>
      </c>
      <c r="E1499">
        <f t="shared" si="23"/>
        <v>0</v>
      </c>
    </row>
    <row r="1500" spans="1:5">
      <c r="A1500" s="1">
        <f>IF(C1500="","",COUNTA(C$4:C1500))</f>
        <v>1484</v>
      </c>
      <c r="B1500" s="1" t="s">
        <v>2865</v>
      </c>
      <c r="C1500" s="3" t="s">
        <v>2866</v>
      </c>
      <c r="E1500">
        <f t="shared" si="23"/>
        <v>0</v>
      </c>
    </row>
    <row r="1501" spans="1:5">
      <c r="A1501" s="1">
        <f>IF(C1501="","",COUNTA(C$4:C1501))</f>
        <v>1485</v>
      </c>
      <c r="B1501" s="1" t="s">
        <v>2867</v>
      </c>
      <c r="C1501" s="1" t="s">
        <v>2868</v>
      </c>
      <c r="E1501">
        <f t="shared" si="23"/>
        <v>0</v>
      </c>
    </row>
    <row r="1502" spans="1:5">
      <c r="A1502" s="1">
        <f>IF(C1502="","",COUNTA(C$4:C1502))</f>
        <v>1486</v>
      </c>
      <c r="B1502" s="1" t="s">
        <v>2869</v>
      </c>
      <c r="C1502" s="1" t="s">
        <v>2870</v>
      </c>
      <c r="E1502">
        <f t="shared" si="23"/>
        <v>0</v>
      </c>
    </row>
    <row r="1503" spans="1:5">
      <c r="A1503" s="1">
        <f>IF(C1503="","",COUNTA(C$4:C1503))</f>
        <v>1487</v>
      </c>
      <c r="B1503" s="1" t="s">
        <v>2871</v>
      </c>
      <c r="C1503" s="3" t="s">
        <v>2872</v>
      </c>
      <c r="E1503">
        <f t="shared" si="23"/>
        <v>0</v>
      </c>
    </row>
    <row r="1504" spans="1:5">
      <c r="A1504" s="1">
        <f>IF(C1504="","",COUNTA(C$4:C1504))</f>
        <v>1488</v>
      </c>
      <c r="B1504" s="1" t="s">
        <v>2873</v>
      </c>
      <c r="C1504" s="1" t="s">
        <v>2874</v>
      </c>
      <c r="E1504">
        <f t="shared" si="23"/>
        <v>0</v>
      </c>
    </row>
    <row r="1505" spans="1:5">
      <c r="A1505" s="1">
        <f>IF(C1505="","",COUNTA(C$4:C1505))</f>
        <v>1489</v>
      </c>
      <c r="B1505" s="1" t="s">
        <v>2875</v>
      </c>
      <c r="C1505" s="1" t="s">
        <v>2876</v>
      </c>
      <c r="E1505">
        <f t="shared" si="23"/>
        <v>0</v>
      </c>
    </row>
    <row r="1506" spans="1:5">
      <c r="A1506" s="1">
        <f>IF(C1506="","",COUNTA(C$4:C1506))</f>
        <v>1490</v>
      </c>
      <c r="B1506" s="1" t="s">
        <v>2877</v>
      </c>
      <c r="C1506" s="1" t="s">
        <v>2878</v>
      </c>
      <c r="E1506">
        <f t="shared" si="23"/>
        <v>0</v>
      </c>
    </row>
    <row r="1507" spans="1:5">
      <c r="A1507" s="1">
        <f>IF(C1507="","",COUNTA(C$4:C1507))</f>
        <v>1491</v>
      </c>
      <c r="B1507" s="1" t="s">
        <v>2879</v>
      </c>
      <c r="C1507" s="1" t="s">
        <v>2880</v>
      </c>
      <c r="E1507">
        <f t="shared" si="23"/>
        <v>0</v>
      </c>
    </row>
    <row r="1508" spans="1:5">
      <c r="A1508" s="1">
        <f>IF(C1508="","",COUNTA(C$4:C1508))</f>
        <v>1492</v>
      </c>
      <c r="B1508" s="1" t="s">
        <v>2881</v>
      </c>
      <c r="C1508" s="1" t="s">
        <v>2882</v>
      </c>
      <c r="E1508">
        <f t="shared" si="23"/>
        <v>0</v>
      </c>
    </row>
    <row r="1509" spans="1:5">
      <c r="A1509" s="1">
        <f>IF(C1509="","",COUNTA(C$4:C1509))</f>
        <v>1493</v>
      </c>
      <c r="B1509" s="1" t="s">
        <v>2883</v>
      </c>
      <c r="C1509" s="1" t="s">
        <v>2884</v>
      </c>
      <c r="E1509">
        <f t="shared" si="23"/>
        <v>0</v>
      </c>
    </row>
    <row r="1510" spans="1:5">
      <c r="A1510" s="1">
        <f>IF(C1510="","",COUNTA(C$4:C1510))</f>
        <v>1494</v>
      </c>
      <c r="B1510" s="1" t="s">
        <v>2885</v>
      </c>
      <c r="C1510" s="1" t="s">
        <v>2886</v>
      </c>
      <c r="E1510">
        <f t="shared" si="23"/>
        <v>0</v>
      </c>
    </row>
    <row r="1511" spans="1:5">
      <c r="A1511" s="1">
        <f>IF(C1511="","",COUNTA(C$4:C1511))</f>
        <v>1495</v>
      </c>
      <c r="B1511" s="1" t="s">
        <v>2887</v>
      </c>
      <c r="C1511" s="1" t="s">
        <v>2888</v>
      </c>
      <c r="E1511">
        <f t="shared" si="23"/>
        <v>0</v>
      </c>
    </row>
    <row r="1512" spans="1:5">
      <c r="A1512" s="1">
        <f>IF(C1512="","",COUNTA(C$4:C1512))</f>
        <v>1496</v>
      </c>
      <c r="B1512" s="1" t="s">
        <v>2889</v>
      </c>
      <c r="C1512" s="1" t="s">
        <v>2890</v>
      </c>
      <c r="E1512">
        <f t="shared" si="23"/>
        <v>0</v>
      </c>
    </row>
    <row r="1513" spans="1:5">
      <c r="A1513" s="1">
        <f>IF(C1513="","",COUNTA(C$4:C1513))</f>
        <v>1497</v>
      </c>
      <c r="B1513" s="1" t="s">
        <v>2889</v>
      </c>
      <c r="C1513" s="1" t="s">
        <v>2891</v>
      </c>
      <c r="E1513">
        <f t="shared" si="23"/>
        <v>0</v>
      </c>
    </row>
    <row r="1514" spans="1:5">
      <c r="A1514" s="1">
        <f>IF(C1514="","",COUNTA(C$4:C1514))</f>
        <v>1498</v>
      </c>
      <c r="B1514" s="1" t="s">
        <v>2892</v>
      </c>
      <c r="C1514" s="1" t="s">
        <v>2893</v>
      </c>
      <c r="E1514">
        <f t="shared" si="23"/>
        <v>0</v>
      </c>
    </row>
    <row r="1515" spans="1:5">
      <c r="A1515" s="1">
        <f>IF(C1515="","",COUNTA(C$4:C1515))</f>
        <v>1499</v>
      </c>
      <c r="B1515" s="1" t="s">
        <v>2894</v>
      </c>
      <c r="C1515" s="1" t="s">
        <v>2895</v>
      </c>
      <c r="E1515">
        <f t="shared" si="23"/>
        <v>0</v>
      </c>
    </row>
    <row r="1516" spans="1:5">
      <c r="A1516" s="1">
        <f>IF(C1516="","",COUNTA(C$4:C1516))</f>
        <v>1500</v>
      </c>
      <c r="B1516" s="1" t="s">
        <v>2896</v>
      </c>
      <c r="C1516" s="1" t="s">
        <v>2897</v>
      </c>
      <c r="E1516">
        <f t="shared" si="23"/>
        <v>0</v>
      </c>
    </row>
    <row r="1517" spans="1:5">
      <c r="A1517" s="1">
        <f>IF(C1517="","",COUNTA(C$4:C1517))</f>
        <v>1501</v>
      </c>
      <c r="B1517" s="1" t="s">
        <v>2898</v>
      </c>
      <c r="C1517" s="1" t="s">
        <v>2899</v>
      </c>
      <c r="E1517">
        <f t="shared" si="23"/>
        <v>0</v>
      </c>
    </row>
    <row r="1518" spans="1:5">
      <c r="A1518" s="1">
        <f>IF(C1518="","",COUNTA(C$4:C1518))</f>
        <v>1502</v>
      </c>
      <c r="B1518" s="1" t="s">
        <v>2900</v>
      </c>
      <c r="C1518" s="1" t="s">
        <v>2901</v>
      </c>
      <c r="E1518">
        <f t="shared" si="23"/>
        <v>0</v>
      </c>
    </row>
    <row r="1519" spans="1:5">
      <c r="A1519" s="1">
        <f>IF(C1519="","",COUNTA(C$4:C1519))</f>
        <v>1503</v>
      </c>
      <c r="B1519" s="1" t="s">
        <v>2902</v>
      </c>
      <c r="C1519" s="1" t="s">
        <v>2903</v>
      </c>
      <c r="E1519">
        <f t="shared" si="23"/>
        <v>0</v>
      </c>
    </row>
    <row r="1520" spans="1:5">
      <c r="A1520" s="1">
        <f>IF(C1520="","",COUNTA(C$4:C1520))</f>
        <v>1504</v>
      </c>
      <c r="B1520" s="1" t="s">
        <v>2904</v>
      </c>
      <c r="C1520" s="1" t="s">
        <v>2905</v>
      </c>
      <c r="E1520">
        <f t="shared" si="23"/>
        <v>0</v>
      </c>
    </row>
    <row r="1521" spans="1:5">
      <c r="A1521" s="1">
        <f>IF(C1521="","",COUNTA(C$4:C1521))</f>
        <v>1505</v>
      </c>
      <c r="B1521" s="1" t="s">
        <v>2906</v>
      </c>
      <c r="C1521" s="1" t="s">
        <v>2907</v>
      </c>
      <c r="E1521">
        <f t="shared" si="23"/>
        <v>0</v>
      </c>
    </row>
    <row r="1522" spans="1:5">
      <c r="A1522" s="1">
        <f>IF(C1522="","",COUNTA(C$4:C1522))</f>
        <v>1506</v>
      </c>
      <c r="B1522" s="1" t="s">
        <v>2908</v>
      </c>
      <c r="C1522" s="1" t="s">
        <v>2909</v>
      </c>
      <c r="E1522">
        <f t="shared" si="23"/>
        <v>0</v>
      </c>
    </row>
    <row r="1523" spans="1:5">
      <c r="A1523" s="1">
        <f>IF(C1523="","",COUNTA(C$4:C1523))</f>
        <v>1507</v>
      </c>
      <c r="B1523" s="1" t="s">
        <v>2910</v>
      </c>
      <c r="C1523" s="1" t="s">
        <v>2911</v>
      </c>
      <c r="E1523">
        <f t="shared" si="23"/>
        <v>0</v>
      </c>
    </row>
    <row r="1524" spans="1:5">
      <c r="A1524" s="1">
        <f>IF(C1524="","",COUNTA(C$4:C1524))</f>
        <v>1508</v>
      </c>
      <c r="B1524" s="1" t="s">
        <v>2912</v>
      </c>
      <c r="C1524" s="1" t="s">
        <v>2913</v>
      </c>
      <c r="E1524">
        <f t="shared" si="23"/>
        <v>0</v>
      </c>
    </row>
    <row r="1525" spans="1:5">
      <c r="A1525" s="1">
        <f>IF(C1525="","",COUNTA(C$4:C1525))</f>
        <v>1509</v>
      </c>
      <c r="B1525" s="1" t="s">
        <v>2914</v>
      </c>
      <c r="C1525" s="1" t="s">
        <v>2915</v>
      </c>
      <c r="E1525">
        <f t="shared" si="23"/>
        <v>0</v>
      </c>
    </row>
    <row r="1526" spans="1:5">
      <c r="A1526" s="1">
        <f>IF(C1526="","",COUNTA(C$4:C1526))</f>
        <v>1510</v>
      </c>
      <c r="B1526" s="1" t="s">
        <v>2916</v>
      </c>
      <c r="C1526" s="1" t="s">
        <v>2917</v>
      </c>
      <c r="E1526">
        <f t="shared" si="23"/>
        <v>0</v>
      </c>
    </row>
    <row r="1527" spans="1:5">
      <c r="A1527" s="1">
        <f>IF(C1527="","",COUNTA(C$4:C1527))</f>
        <v>1511</v>
      </c>
      <c r="B1527" s="1" t="s">
        <v>2918</v>
      </c>
      <c r="C1527" s="1" t="s">
        <v>2919</v>
      </c>
      <c r="E1527">
        <f t="shared" si="23"/>
        <v>0</v>
      </c>
    </row>
    <row r="1528" spans="1:5">
      <c r="A1528" s="1">
        <f>IF(C1528="","",COUNTA(C$4:C1528))</f>
        <v>1512</v>
      </c>
      <c r="B1528" s="1" t="s">
        <v>2920</v>
      </c>
      <c r="C1528" s="1" t="s">
        <v>2921</v>
      </c>
      <c r="E1528">
        <f t="shared" si="23"/>
        <v>0</v>
      </c>
    </row>
    <row r="1529" spans="1:5">
      <c r="A1529" s="1">
        <f>IF(C1529="","",COUNTA(C$4:C1529))</f>
        <v>1513</v>
      </c>
      <c r="B1529" s="1" t="s">
        <v>2922</v>
      </c>
      <c r="C1529" s="1" t="s">
        <v>2923</v>
      </c>
      <c r="E1529">
        <f t="shared" si="23"/>
        <v>0</v>
      </c>
    </row>
    <row r="1530" spans="1:5">
      <c r="A1530" s="1">
        <f>IF(C1530="","",COUNTA(C$4:C1530))</f>
        <v>1514</v>
      </c>
      <c r="B1530" s="1" t="s">
        <v>2924</v>
      </c>
      <c r="C1530" s="1" t="s">
        <v>2925</v>
      </c>
      <c r="E1530">
        <f t="shared" si="23"/>
        <v>0</v>
      </c>
    </row>
    <row r="1531" spans="1:5">
      <c r="A1531" s="1">
        <f>IF(C1531="","",COUNTA(C$4:C1531))</f>
        <v>1515</v>
      </c>
      <c r="B1531" s="1" t="s">
        <v>2926</v>
      </c>
      <c r="C1531" s="1" t="s">
        <v>2927</v>
      </c>
      <c r="E1531">
        <f t="shared" si="23"/>
        <v>0</v>
      </c>
    </row>
    <row r="1532" spans="1:5">
      <c r="A1532" s="1">
        <f>IF(C1532="","",COUNTA(C$4:C1532))</f>
        <v>1516</v>
      </c>
      <c r="B1532" s="1" t="s">
        <v>2928</v>
      </c>
      <c r="C1532" s="1" t="s">
        <v>2929</v>
      </c>
      <c r="E1532">
        <f t="shared" si="23"/>
        <v>0</v>
      </c>
    </row>
    <row r="1533" spans="1:5">
      <c r="A1533" s="1">
        <f>IF(C1533="","",COUNTA(C$4:C1533))</f>
        <v>1517</v>
      </c>
      <c r="B1533" s="1" t="s">
        <v>2930</v>
      </c>
      <c r="C1533" s="1" t="s">
        <v>2931</v>
      </c>
      <c r="E1533">
        <f t="shared" si="23"/>
        <v>0</v>
      </c>
    </row>
    <row r="1534" spans="1:5">
      <c r="A1534" s="1">
        <f>IF(C1534="","",COUNTA(C$4:C1534))</f>
        <v>1518</v>
      </c>
      <c r="B1534" s="1" t="s">
        <v>2932</v>
      </c>
      <c r="C1534" s="1" t="s">
        <v>2933</v>
      </c>
      <c r="E1534">
        <f t="shared" si="23"/>
        <v>0</v>
      </c>
    </row>
    <row r="1535" spans="1:5">
      <c r="A1535" s="1">
        <f>IF(C1535="","",COUNTA(C$4:C1535))</f>
        <v>1519</v>
      </c>
      <c r="B1535" s="1" t="s">
        <v>2934</v>
      </c>
      <c r="C1535" s="1" t="s">
        <v>2935</v>
      </c>
      <c r="E1535">
        <f t="shared" si="23"/>
        <v>0</v>
      </c>
    </row>
    <row r="1536" spans="1:5">
      <c r="A1536" s="1">
        <f>IF(C1536="","",COUNTA(C$4:C1536))</f>
        <v>1520</v>
      </c>
      <c r="B1536" s="1" t="s">
        <v>2936</v>
      </c>
      <c r="C1536" s="1" t="s">
        <v>2937</v>
      </c>
      <c r="E1536">
        <f t="shared" si="23"/>
        <v>0</v>
      </c>
    </row>
    <row r="1537" spans="1:5">
      <c r="A1537" s="1">
        <f>IF(C1537="","",COUNTA(C$4:C1537))</f>
        <v>1521</v>
      </c>
      <c r="B1537" s="1" t="s">
        <v>2938</v>
      </c>
      <c r="C1537" s="1" t="s">
        <v>2939</v>
      </c>
      <c r="E1537">
        <f t="shared" si="23"/>
        <v>0</v>
      </c>
    </row>
    <row r="1538" spans="1:5">
      <c r="A1538" s="1">
        <f>IF(C1538="","",COUNTA(C$4:C1538))</f>
        <v>1522</v>
      </c>
      <c r="B1538" s="1" t="s">
        <v>2940</v>
      </c>
      <c r="C1538" s="1" t="s">
        <v>2941</v>
      </c>
      <c r="E1538">
        <f t="shared" si="23"/>
        <v>0</v>
      </c>
    </row>
    <row r="1539" spans="1:5">
      <c r="A1539" s="1">
        <f>IF(C1539="","",COUNTA(C$4:C1539))</f>
        <v>1523</v>
      </c>
      <c r="B1539" s="1" t="s">
        <v>2942</v>
      </c>
      <c r="C1539" s="1" t="s">
        <v>2943</v>
      </c>
      <c r="E1539">
        <f t="shared" si="23"/>
        <v>0</v>
      </c>
    </row>
    <row r="1540" spans="1:5">
      <c r="A1540" s="1">
        <f>IF(C1540="","",COUNTA(C$4:C1540))</f>
        <v>1524</v>
      </c>
      <c r="B1540" s="1" t="s">
        <v>2944</v>
      </c>
      <c r="C1540" s="1" t="s">
        <v>2945</v>
      </c>
      <c r="E1540">
        <f t="shared" si="23"/>
        <v>0</v>
      </c>
    </row>
    <row r="1541" spans="1:5">
      <c r="A1541" s="1">
        <f>IF(C1541="","",COUNTA(C$4:C1541))</f>
        <v>1525</v>
      </c>
      <c r="B1541" s="1" t="s">
        <v>2946</v>
      </c>
      <c r="C1541" s="1" t="s">
        <v>2947</v>
      </c>
      <c r="E1541">
        <f t="shared" ref="E1541:E1604" si="24">IF(C1541=D1541,1,0)</f>
        <v>0</v>
      </c>
    </row>
    <row r="1542" spans="1:5">
      <c r="A1542" s="1">
        <f>IF(C1542="","",COUNTA(C$4:C1542))</f>
        <v>1526</v>
      </c>
      <c r="B1542" s="1" t="s">
        <v>2948</v>
      </c>
      <c r="C1542" s="1" t="s">
        <v>2949</v>
      </c>
      <c r="E1542">
        <f t="shared" si="24"/>
        <v>0</v>
      </c>
    </row>
    <row r="1543" spans="1:5">
      <c r="A1543" s="1">
        <f>IF(C1543="","",COUNTA(C$4:C1543))</f>
        <v>1527</v>
      </c>
      <c r="B1543" s="1" t="s">
        <v>2950</v>
      </c>
      <c r="C1543" s="1" t="s">
        <v>2951</v>
      </c>
      <c r="E1543">
        <f t="shared" si="24"/>
        <v>0</v>
      </c>
    </row>
    <row r="1544" spans="1:5">
      <c r="A1544" s="1">
        <f>IF(C1544="","",COUNTA(C$4:C1544))</f>
        <v>1528</v>
      </c>
      <c r="B1544" s="1" t="s">
        <v>2952</v>
      </c>
      <c r="C1544" s="1" t="s">
        <v>2953</v>
      </c>
      <c r="E1544">
        <f t="shared" si="24"/>
        <v>0</v>
      </c>
    </row>
    <row r="1545" spans="1:5">
      <c r="A1545" s="1">
        <f>IF(C1545="","",COUNTA(C$4:C1545))</f>
        <v>1529</v>
      </c>
      <c r="B1545" s="1" t="s">
        <v>2954</v>
      </c>
      <c r="C1545" s="1" t="s">
        <v>2955</v>
      </c>
      <c r="E1545">
        <f t="shared" si="24"/>
        <v>0</v>
      </c>
    </row>
    <row r="1546" spans="1:5">
      <c r="A1546" s="1">
        <f>IF(C1546="","",COUNTA(C$4:C1546))</f>
        <v>1530</v>
      </c>
      <c r="B1546" s="1" t="s">
        <v>2956</v>
      </c>
      <c r="C1546" s="1" t="s">
        <v>2957</v>
      </c>
      <c r="E1546">
        <f t="shared" si="24"/>
        <v>0</v>
      </c>
    </row>
    <row r="1547" spans="1:5">
      <c r="A1547" s="1">
        <f>IF(C1547="","",COUNTA(C$4:C1547))</f>
        <v>1531</v>
      </c>
      <c r="B1547" s="1" t="s">
        <v>2958</v>
      </c>
      <c r="C1547" s="1" t="s">
        <v>2959</v>
      </c>
      <c r="E1547">
        <f t="shared" si="24"/>
        <v>0</v>
      </c>
    </row>
    <row r="1548" spans="1:5">
      <c r="A1548" s="1">
        <f>IF(C1548="","",COUNTA(C$4:C1548))</f>
        <v>1532</v>
      </c>
      <c r="B1548" s="1" t="s">
        <v>2960</v>
      </c>
      <c r="C1548" s="1" t="s">
        <v>2961</v>
      </c>
      <c r="E1548">
        <f t="shared" si="24"/>
        <v>0</v>
      </c>
    </row>
    <row r="1549" spans="1:5">
      <c r="A1549" s="1">
        <f>IF(C1549="","",COUNTA(C$4:C1549))</f>
        <v>1533</v>
      </c>
      <c r="B1549" s="1" t="s">
        <v>2962</v>
      </c>
      <c r="C1549" s="1" t="s">
        <v>2963</v>
      </c>
      <c r="E1549">
        <f t="shared" si="24"/>
        <v>0</v>
      </c>
    </row>
    <row r="1550" spans="1:5">
      <c r="A1550" s="1">
        <f>IF(C1550="","",COUNTA(C$4:C1550))</f>
        <v>1534</v>
      </c>
      <c r="B1550" s="1" t="s">
        <v>2964</v>
      </c>
      <c r="C1550" s="1" t="s">
        <v>2965</v>
      </c>
      <c r="E1550">
        <f t="shared" si="24"/>
        <v>0</v>
      </c>
    </row>
    <row r="1551" spans="1:5">
      <c r="A1551" s="1">
        <f>IF(C1551="","",COUNTA(C$4:C1551))</f>
        <v>1535</v>
      </c>
      <c r="B1551" s="1" t="s">
        <v>2966</v>
      </c>
      <c r="C1551" s="1" t="s">
        <v>2967</v>
      </c>
      <c r="E1551">
        <f t="shared" si="24"/>
        <v>0</v>
      </c>
    </row>
    <row r="1552" spans="1:5">
      <c r="A1552" s="1">
        <f>IF(C1552="","",COUNTA(C$4:C1552))</f>
        <v>1536</v>
      </c>
      <c r="B1552" s="1" t="s">
        <v>2968</v>
      </c>
      <c r="C1552" s="1" t="s">
        <v>2969</v>
      </c>
      <c r="E1552">
        <f t="shared" si="24"/>
        <v>0</v>
      </c>
    </row>
    <row r="1553" spans="1:5">
      <c r="A1553" s="1">
        <f>IF(C1553="","",COUNTA(C$4:C1553))</f>
        <v>1537</v>
      </c>
      <c r="B1553" s="1" t="s">
        <v>2970</v>
      </c>
      <c r="C1553" s="1" t="s">
        <v>2971</v>
      </c>
      <c r="E1553">
        <f t="shared" si="24"/>
        <v>0</v>
      </c>
    </row>
    <row r="1554" spans="1:5">
      <c r="A1554" s="1">
        <f>IF(C1554="","",COUNTA(C$4:C1554))</f>
        <v>1538</v>
      </c>
      <c r="B1554" s="1" t="s">
        <v>2972</v>
      </c>
      <c r="C1554" s="1" t="s">
        <v>2973</v>
      </c>
      <c r="E1554">
        <f t="shared" si="24"/>
        <v>0</v>
      </c>
    </row>
    <row r="1555" spans="1:5">
      <c r="A1555" s="1">
        <f>IF(C1555="","",COUNTA(C$4:C1555))</f>
        <v>1539</v>
      </c>
      <c r="B1555" s="1" t="s">
        <v>2974</v>
      </c>
      <c r="C1555" s="1" t="s">
        <v>2975</v>
      </c>
      <c r="E1555">
        <f t="shared" si="24"/>
        <v>0</v>
      </c>
    </row>
    <row r="1556" spans="1:5">
      <c r="A1556" s="1">
        <f>IF(C1556="","",COUNTA(C$4:C1556))</f>
        <v>1540</v>
      </c>
      <c r="B1556" s="1" t="s">
        <v>2976</v>
      </c>
      <c r="C1556" s="1" t="s">
        <v>2977</v>
      </c>
      <c r="E1556">
        <f t="shared" si="24"/>
        <v>0</v>
      </c>
    </row>
    <row r="1557" spans="1:5">
      <c r="A1557" s="1">
        <f>IF(C1557="","",COUNTA(C$4:C1557))</f>
        <v>1541</v>
      </c>
      <c r="B1557" s="1" t="s">
        <v>2978</v>
      </c>
      <c r="C1557" s="1" t="s">
        <v>2979</v>
      </c>
      <c r="E1557">
        <f t="shared" si="24"/>
        <v>0</v>
      </c>
    </row>
    <row r="1558" spans="1:5">
      <c r="A1558" s="1">
        <f>IF(C1558="","",COUNTA(C$4:C1558))</f>
        <v>1542</v>
      </c>
      <c r="B1558" s="1" t="s">
        <v>2980</v>
      </c>
      <c r="C1558" s="1" t="s">
        <v>2981</v>
      </c>
      <c r="E1558">
        <f t="shared" si="24"/>
        <v>0</v>
      </c>
    </row>
    <row r="1559" spans="1:5">
      <c r="A1559" s="1">
        <f>IF(C1559="","",COUNTA(C$4:C1559))</f>
        <v>1543</v>
      </c>
      <c r="B1559" s="1" t="s">
        <v>2982</v>
      </c>
      <c r="C1559" s="1" t="s">
        <v>2983</v>
      </c>
      <c r="E1559">
        <f t="shared" si="24"/>
        <v>0</v>
      </c>
    </row>
    <row r="1560" spans="1:5">
      <c r="A1560" s="1">
        <f>IF(C1560="","",COUNTA(C$4:C1560))</f>
        <v>1544</v>
      </c>
      <c r="B1560" s="1" t="s">
        <v>2984</v>
      </c>
      <c r="C1560" s="1" t="s">
        <v>2985</v>
      </c>
      <c r="E1560">
        <f t="shared" si="24"/>
        <v>0</v>
      </c>
    </row>
    <row r="1561" spans="1:5">
      <c r="A1561" s="1">
        <f>IF(C1561="","",COUNTA(C$4:C1561))</f>
        <v>1545</v>
      </c>
      <c r="B1561" s="1" t="s">
        <v>2986</v>
      </c>
      <c r="C1561" s="1" t="s">
        <v>2987</v>
      </c>
      <c r="E1561">
        <f t="shared" si="24"/>
        <v>0</v>
      </c>
    </row>
    <row r="1562" spans="1:5">
      <c r="A1562" s="1">
        <f>IF(C1562="","",COUNTA(C$4:C1562))</f>
        <v>1546</v>
      </c>
      <c r="B1562" s="1" t="s">
        <v>2988</v>
      </c>
      <c r="C1562" s="1" t="s">
        <v>2989</v>
      </c>
      <c r="E1562">
        <f t="shared" si="24"/>
        <v>0</v>
      </c>
    </row>
    <row r="1563" spans="1:5">
      <c r="A1563" s="1">
        <f>IF(C1563="","",COUNTA(C$4:C1563))</f>
        <v>1547</v>
      </c>
      <c r="B1563" s="1" t="s">
        <v>2990</v>
      </c>
      <c r="C1563" s="1" t="s">
        <v>2991</v>
      </c>
      <c r="E1563">
        <f t="shared" si="24"/>
        <v>0</v>
      </c>
    </row>
    <row r="1564" spans="1:5">
      <c r="A1564" s="1">
        <f>IF(C1564="","",COUNTA(C$4:C1564))</f>
        <v>1548</v>
      </c>
      <c r="B1564" s="1" t="s">
        <v>2992</v>
      </c>
      <c r="C1564" s="1" t="s">
        <v>2993</v>
      </c>
      <c r="E1564">
        <f t="shared" si="24"/>
        <v>0</v>
      </c>
    </row>
    <row r="1565" spans="1:5">
      <c r="A1565" s="1">
        <f>IF(C1565="","",COUNTA(C$4:C1565))</f>
        <v>1549</v>
      </c>
      <c r="B1565" s="1" t="s">
        <v>2994</v>
      </c>
      <c r="C1565" s="1" t="s">
        <v>2995</v>
      </c>
      <c r="E1565">
        <f t="shared" si="24"/>
        <v>0</v>
      </c>
    </row>
    <row r="1566" spans="1:5">
      <c r="A1566" s="1">
        <f>IF(C1566="","",COUNTA(C$4:C1566))</f>
        <v>1550</v>
      </c>
      <c r="B1566" s="1" t="s">
        <v>2996</v>
      </c>
      <c r="C1566" s="1" t="s">
        <v>2997</v>
      </c>
      <c r="E1566">
        <f t="shared" si="24"/>
        <v>0</v>
      </c>
    </row>
    <row r="1567" spans="1:5">
      <c r="A1567" s="1">
        <f>IF(C1567="","",COUNTA(C$4:C1567))</f>
        <v>1551</v>
      </c>
      <c r="B1567" s="1" t="s">
        <v>2998</v>
      </c>
      <c r="C1567" s="1" t="s">
        <v>2999</v>
      </c>
      <c r="E1567">
        <f t="shared" si="24"/>
        <v>0</v>
      </c>
    </row>
    <row r="1568" spans="1:5">
      <c r="A1568" s="1">
        <f>IF(C1568="","",COUNTA(C$4:C1568))</f>
        <v>1552</v>
      </c>
      <c r="B1568" s="1" t="s">
        <v>3000</v>
      </c>
      <c r="C1568" s="1" t="s">
        <v>3001</v>
      </c>
      <c r="E1568">
        <f t="shared" si="24"/>
        <v>0</v>
      </c>
    </row>
    <row r="1569" spans="1:5">
      <c r="A1569" s="1">
        <f>IF(C1569="","",COUNTA(C$4:C1569))</f>
        <v>1553</v>
      </c>
      <c r="B1569" s="1" t="s">
        <v>3002</v>
      </c>
      <c r="C1569" s="1" t="s">
        <v>3003</v>
      </c>
      <c r="E1569">
        <f t="shared" si="24"/>
        <v>0</v>
      </c>
    </row>
    <row r="1570" spans="1:5">
      <c r="A1570" s="1">
        <f>IF(C1570="","",COUNTA(C$4:C1570))</f>
        <v>1554</v>
      </c>
      <c r="B1570" s="1" t="s">
        <v>3004</v>
      </c>
      <c r="C1570" s="1" t="s">
        <v>3005</v>
      </c>
      <c r="E1570">
        <f t="shared" si="24"/>
        <v>0</v>
      </c>
    </row>
    <row r="1571" spans="1:5">
      <c r="A1571" s="1">
        <f>IF(C1571="","",COUNTA(C$4:C1571))</f>
        <v>1555</v>
      </c>
      <c r="B1571" s="1" t="s">
        <v>3006</v>
      </c>
      <c r="C1571" s="1" t="s">
        <v>3007</v>
      </c>
      <c r="E1571">
        <f t="shared" si="24"/>
        <v>0</v>
      </c>
    </row>
    <row r="1572" spans="1:5">
      <c r="A1572" s="1">
        <f>IF(C1572="","",COUNTA(C$4:C1572))</f>
        <v>1556</v>
      </c>
      <c r="B1572" s="1" t="s">
        <v>3008</v>
      </c>
      <c r="C1572" s="1" t="s">
        <v>3009</v>
      </c>
      <c r="E1572">
        <f t="shared" si="24"/>
        <v>0</v>
      </c>
    </row>
    <row r="1573" spans="1:5">
      <c r="A1573" s="1">
        <f>IF(C1573="","",COUNTA(C$4:C1573))</f>
        <v>1557</v>
      </c>
      <c r="B1573" s="1" t="s">
        <v>3010</v>
      </c>
      <c r="C1573" s="1" t="s">
        <v>3011</v>
      </c>
      <c r="E1573">
        <f t="shared" si="24"/>
        <v>0</v>
      </c>
    </row>
    <row r="1574" spans="1:5">
      <c r="A1574" s="1">
        <f>IF(C1574="","",COUNTA(C$4:C1574))</f>
        <v>1558</v>
      </c>
      <c r="B1574" s="1" t="s">
        <v>3012</v>
      </c>
      <c r="C1574" s="1" t="s">
        <v>3013</v>
      </c>
      <c r="E1574">
        <f t="shared" si="24"/>
        <v>0</v>
      </c>
    </row>
    <row r="1575" spans="1:5">
      <c r="A1575" s="1">
        <f>IF(C1575="","",COUNTA(C$4:C1575))</f>
        <v>1559</v>
      </c>
      <c r="B1575" s="1" t="s">
        <v>3014</v>
      </c>
      <c r="C1575" s="1" t="s">
        <v>3015</v>
      </c>
      <c r="E1575">
        <f t="shared" si="24"/>
        <v>0</v>
      </c>
    </row>
    <row r="1576" spans="1:5">
      <c r="A1576" s="1">
        <f>IF(C1576="","",COUNTA(C$4:C1576))</f>
        <v>1560</v>
      </c>
      <c r="B1576" s="1" t="s">
        <v>3016</v>
      </c>
      <c r="C1576" s="1" t="s">
        <v>3017</v>
      </c>
      <c r="E1576">
        <f t="shared" si="24"/>
        <v>0</v>
      </c>
    </row>
    <row r="1577" spans="1:5">
      <c r="A1577" s="1">
        <f>IF(C1577="","",COUNTA(C$4:C1577))</f>
        <v>1561</v>
      </c>
      <c r="B1577" s="1" t="s">
        <v>3018</v>
      </c>
      <c r="C1577" s="1" t="s">
        <v>3019</v>
      </c>
      <c r="E1577">
        <f t="shared" si="24"/>
        <v>0</v>
      </c>
    </row>
    <row r="1578" spans="1:5">
      <c r="A1578" s="1">
        <f>IF(C1578="","",COUNTA(C$4:C1578))</f>
        <v>1562</v>
      </c>
      <c r="B1578" s="1" t="s">
        <v>3020</v>
      </c>
      <c r="C1578" s="1" t="s">
        <v>3021</v>
      </c>
      <c r="E1578">
        <f t="shared" si="24"/>
        <v>0</v>
      </c>
    </row>
    <row r="1579" spans="1:5">
      <c r="A1579" s="1">
        <f>IF(C1579="","",COUNTA(C$4:C1579))</f>
        <v>1563</v>
      </c>
      <c r="B1579" s="1" t="s">
        <v>3022</v>
      </c>
      <c r="C1579" s="1" t="s">
        <v>3023</v>
      </c>
      <c r="E1579">
        <f t="shared" si="24"/>
        <v>0</v>
      </c>
    </row>
    <row r="1580" spans="1:5">
      <c r="A1580" s="1">
        <f>IF(C1580="","",COUNTA(C$4:C1580))</f>
        <v>1564</v>
      </c>
      <c r="B1580" s="1" t="s">
        <v>3024</v>
      </c>
      <c r="C1580" s="1" t="s">
        <v>3025</v>
      </c>
      <c r="E1580">
        <f t="shared" si="24"/>
        <v>0</v>
      </c>
    </row>
    <row r="1581" spans="1:5">
      <c r="A1581" s="1">
        <f>IF(C1581="","",COUNTA(C$4:C1581))</f>
        <v>1565</v>
      </c>
      <c r="B1581" s="1" t="s">
        <v>3026</v>
      </c>
      <c r="C1581" s="1" t="s">
        <v>3027</v>
      </c>
      <c r="E1581">
        <f t="shared" si="24"/>
        <v>0</v>
      </c>
    </row>
    <row r="1582" spans="1:5">
      <c r="A1582" s="1">
        <f>IF(C1582="","",COUNTA(C$4:C1582))</f>
        <v>1566</v>
      </c>
      <c r="B1582" s="1" t="s">
        <v>3028</v>
      </c>
      <c r="C1582" s="1" t="s">
        <v>3029</v>
      </c>
      <c r="E1582">
        <f t="shared" si="24"/>
        <v>0</v>
      </c>
    </row>
    <row r="1583" spans="1:5">
      <c r="A1583" s="1">
        <f>IF(C1583="","",COUNTA(C$4:C1583))</f>
        <v>1567</v>
      </c>
      <c r="B1583" s="1" t="s">
        <v>3030</v>
      </c>
      <c r="C1583" s="3" t="s">
        <v>3031</v>
      </c>
      <c r="E1583">
        <f t="shared" si="24"/>
        <v>0</v>
      </c>
    </row>
    <row r="1584" spans="1:5">
      <c r="A1584" s="1">
        <f>IF(C1584="","",COUNTA(C$4:C1584))</f>
        <v>1568</v>
      </c>
      <c r="B1584" s="1" t="s">
        <v>3032</v>
      </c>
      <c r="C1584" s="3" t="s">
        <v>3033</v>
      </c>
      <c r="E1584">
        <f t="shared" si="24"/>
        <v>0</v>
      </c>
    </row>
    <row r="1585" spans="1:5">
      <c r="A1585" s="1">
        <f>IF(C1585="","",COUNTA(C$4:C1585))</f>
        <v>1569</v>
      </c>
      <c r="B1585" s="1" t="s">
        <v>3034</v>
      </c>
      <c r="C1585" s="1" t="s">
        <v>3035</v>
      </c>
      <c r="E1585">
        <f t="shared" si="24"/>
        <v>0</v>
      </c>
    </row>
    <row r="1586" spans="1:5">
      <c r="A1586" s="1">
        <f>IF(C1586="","",COUNTA(C$4:C1586))</f>
        <v>1570</v>
      </c>
      <c r="B1586" s="1" t="s">
        <v>3036</v>
      </c>
      <c r="C1586" s="1" t="s">
        <v>3037</v>
      </c>
      <c r="E1586">
        <f t="shared" si="24"/>
        <v>0</v>
      </c>
    </row>
    <row r="1587" spans="1:5">
      <c r="A1587" s="1">
        <f>IF(C1587="","",COUNTA(C$4:C1587))</f>
        <v>1571</v>
      </c>
      <c r="B1587" s="1" t="s">
        <v>3038</v>
      </c>
      <c r="C1587" s="3" t="s">
        <v>3039</v>
      </c>
      <c r="E1587">
        <f t="shared" si="24"/>
        <v>0</v>
      </c>
    </row>
    <row r="1588" spans="1:5">
      <c r="A1588" s="1">
        <f>IF(C1588="","",COUNTA(C$4:C1588))</f>
        <v>1572</v>
      </c>
      <c r="B1588" s="1" t="s">
        <v>3040</v>
      </c>
      <c r="C1588" s="1" t="s">
        <v>3041</v>
      </c>
      <c r="E1588">
        <f t="shared" si="24"/>
        <v>0</v>
      </c>
    </row>
    <row r="1589" spans="1:5">
      <c r="A1589" s="1">
        <f>IF(C1589="","",COUNTA(C$4:C1589))</f>
        <v>1573</v>
      </c>
      <c r="B1589" s="1" t="s">
        <v>3042</v>
      </c>
      <c r="C1589" s="1" t="s">
        <v>157</v>
      </c>
      <c r="E1589">
        <f t="shared" si="24"/>
        <v>0</v>
      </c>
    </row>
    <row r="1590" spans="1:5">
      <c r="A1590" s="1">
        <f>IF(C1590="","",COUNTA(C$4:C1590))</f>
        <v>1574</v>
      </c>
      <c r="B1590" s="1" t="s">
        <v>3042</v>
      </c>
      <c r="C1590" s="1" t="s">
        <v>3043</v>
      </c>
      <c r="E1590">
        <f t="shared" si="24"/>
        <v>0</v>
      </c>
    </row>
    <row r="1591" spans="1:5">
      <c r="A1591" s="1">
        <f>IF(C1591="","",COUNTA(C$4:C1591))</f>
        <v>1575</v>
      </c>
      <c r="B1591" s="1" t="s">
        <v>3044</v>
      </c>
      <c r="C1591" s="1" t="s">
        <v>3045</v>
      </c>
      <c r="E1591">
        <f t="shared" si="24"/>
        <v>0</v>
      </c>
    </row>
    <row r="1592" spans="1:5">
      <c r="A1592" s="1">
        <f>IF(C1592="","",COUNTA(C$4:C1592))</f>
        <v>1576</v>
      </c>
      <c r="B1592" s="1" t="s">
        <v>3046</v>
      </c>
      <c r="C1592" s="1" t="s">
        <v>3047</v>
      </c>
      <c r="E1592">
        <f t="shared" si="24"/>
        <v>0</v>
      </c>
    </row>
    <row r="1593" spans="1:5">
      <c r="A1593" s="1">
        <f>IF(C1593="","",COUNTA(C$4:C1593))</f>
        <v>1577</v>
      </c>
      <c r="B1593" s="1" t="s">
        <v>3048</v>
      </c>
      <c r="C1593" s="1" t="s">
        <v>3049</v>
      </c>
      <c r="E1593">
        <f t="shared" si="24"/>
        <v>0</v>
      </c>
    </row>
    <row r="1594" spans="1:5">
      <c r="A1594" s="1">
        <f>IF(C1594="","",COUNTA(C$4:C1594))</f>
        <v>1578</v>
      </c>
      <c r="B1594" s="1" t="s">
        <v>3050</v>
      </c>
      <c r="C1594" s="1" t="s">
        <v>3051</v>
      </c>
      <c r="E1594">
        <f t="shared" si="24"/>
        <v>0</v>
      </c>
    </row>
    <row r="1595" spans="1:5">
      <c r="A1595" s="1">
        <f>IF(C1595="","",COUNTA(C$4:C1595))</f>
        <v>1579</v>
      </c>
      <c r="B1595" s="1" t="s">
        <v>3052</v>
      </c>
      <c r="C1595" s="1" t="s">
        <v>3053</v>
      </c>
      <c r="E1595">
        <f t="shared" si="24"/>
        <v>0</v>
      </c>
    </row>
    <row r="1596" spans="1:5">
      <c r="A1596" s="1">
        <f>IF(C1596="","",COUNTA(C$4:C1596))</f>
        <v>1580</v>
      </c>
      <c r="B1596" s="1" t="s">
        <v>3054</v>
      </c>
      <c r="C1596" s="1" t="s">
        <v>3055</v>
      </c>
      <c r="E1596">
        <f t="shared" si="24"/>
        <v>0</v>
      </c>
    </row>
    <row r="1597" spans="1:5">
      <c r="A1597" s="1">
        <f>IF(C1597="","",COUNTA(C$4:C1597))</f>
        <v>1581</v>
      </c>
      <c r="B1597" s="1" t="s">
        <v>3056</v>
      </c>
      <c r="C1597" s="1" t="s">
        <v>3057</v>
      </c>
      <c r="E1597">
        <f t="shared" si="24"/>
        <v>0</v>
      </c>
    </row>
    <row r="1598" spans="1:5">
      <c r="A1598" s="1">
        <f>IF(C1598="","",COUNTA(C$4:C1598))</f>
        <v>1582</v>
      </c>
      <c r="B1598" s="1" t="s">
        <v>3058</v>
      </c>
      <c r="C1598" s="1" t="s">
        <v>3059</v>
      </c>
      <c r="E1598">
        <f t="shared" si="24"/>
        <v>0</v>
      </c>
    </row>
    <row r="1599" spans="1:5">
      <c r="A1599" s="1">
        <f>IF(C1599="","",COUNTA(C$4:C1599))</f>
        <v>1583</v>
      </c>
      <c r="B1599" s="1" t="s">
        <v>3060</v>
      </c>
      <c r="C1599" s="1" t="s">
        <v>3061</v>
      </c>
      <c r="E1599">
        <f t="shared" si="24"/>
        <v>0</v>
      </c>
    </row>
    <row r="1600" spans="1:5">
      <c r="A1600" s="1">
        <f>IF(C1600="","",COUNTA(C$4:C1600))</f>
        <v>1584</v>
      </c>
      <c r="B1600" s="1" t="s">
        <v>3062</v>
      </c>
      <c r="C1600" s="1" t="s">
        <v>3063</v>
      </c>
      <c r="E1600">
        <f t="shared" si="24"/>
        <v>0</v>
      </c>
    </row>
    <row r="1601" spans="1:5">
      <c r="A1601" s="1">
        <f>IF(C1601="","",COUNTA(C$4:C1601))</f>
        <v>1585</v>
      </c>
      <c r="B1601" s="1" t="s">
        <v>3064</v>
      </c>
      <c r="C1601" s="1" t="s">
        <v>3065</v>
      </c>
      <c r="E1601">
        <f t="shared" si="24"/>
        <v>0</v>
      </c>
    </row>
    <row r="1602" spans="1:5">
      <c r="A1602" s="1">
        <f>IF(C1602="","",COUNTA(C$4:C1602))</f>
        <v>1586</v>
      </c>
      <c r="B1602" s="1" t="s">
        <v>3066</v>
      </c>
      <c r="C1602" s="1" t="s">
        <v>3067</v>
      </c>
      <c r="E1602">
        <f t="shared" si="24"/>
        <v>0</v>
      </c>
    </row>
    <row r="1603" spans="1:5">
      <c r="A1603" s="1">
        <f>IF(C1603="","",COUNTA(C$4:C1603))</f>
        <v>1587</v>
      </c>
      <c r="B1603" s="1" t="s">
        <v>3068</v>
      </c>
      <c r="C1603" s="1" t="s">
        <v>3069</v>
      </c>
      <c r="E1603">
        <f t="shared" si="24"/>
        <v>0</v>
      </c>
    </row>
    <row r="1604" spans="1:5">
      <c r="A1604" s="1">
        <f>IF(C1604="","",COUNTA(C$4:C1604))</f>
        <v>1588</v>
      </c>
      <c r="B1604" s="1" t="s">
        <v>3070</v>
      </c>
      <c r="C1604" s="1" t="s">
        <v>3071</v>
      </c>
      <c r="E1604">
        <f t="shared" si="24"/>
        <v>0</v>
      </c>
    </row>
    <row r="1605" spans="1:5">
      <c r="A1605" s="1">
        <f>IF(C1605="","",COUNTA(C$4:C1605))</f>
        <v>1589</v>
      </c>
      <c r="B1605" s="1" t="s">
        <v>3072</v>
      </c>
      <c r="C1605" s="1" t="s">
        <v>3073</v>
      </c>
      <c r="E1605">
        <f t="shared" ref="E1605:E1668" si="25">IF(C1605=D1605,1,0)</f>
        <v>0</v>
      </c>
    </row>
    <row r="1606" spans="1:5">
      <c r="A1606" s="1">
        <f>IF(C1606="","",COUNTA(C$4:C1606))</f>
        <v>1590</v>
      </c>
      <c r="B1606" s="1" t="s">
        <v>3074</v>
      </c>
      <c r="C1606" s="1" t="s">
        <v>3075</v>
      </c>
      <c r="E1606">
        <f t="shared" si="25"/>
        <v>0</v>
      </c>
    </row>
    <row r="1607" spans="1:5">
      <c r="A1607" s="1">
        <f>IF(C1607="","",COUNTA(C$4:C1607))</f>
        <v>1591</v>
      </c>
      <c r="B1607" s="1" t="s">
        <v>3076</v>
      </c>
      <c r="C1607" s="1" t="s">
        <v>3077</v>
      </c>
      <c r="E1607">
        <f t="shared" si="25"/>
        <v>0</v>
      </c>
    </row>
    <row r="1608" spans="1:5">
      <c r="A1608" s="1">
        <f>IF(C1608="","",COUNTA(C$4:C1608))</f>
        <v>1592</v>
      </c>
      <c r="B1608" s="1" t="s">
        <v>3078</v>
      </c>
      <c r="C1608" s="1" t="s">
        <v>3079</v>
      </c>
      <c r="E1608">
        <f t="shared" si="25"/>
        <v>0</v>
      </c>
    </row>
    <row r="1609" spans="1:5">
      <c r="A1609" s="1">
        <f>IF(C1609="","",COUNTA(C$4:C1609))</f>
        <v>1593</v>
      </c>
      <c r="B1609" s="1" t="s">
        <v>3080</v>
      </c>
      <c r="C1609" s="1" t="s">
        <v>3081</v>
      </c>
      <c r="E1609">
        <f t="shared" si="25"/>
        <v>0</v>
      </c>
    </row>
    <row r="1610" spans="1:5">
      <c r="A1610" s="1">
        <f>IF(C1610="","",COUNTA(C$4:C1610))</f>
        <v>1594</v>
      </c>
      <c r="B1610" s="1" t="s">
        <v>3082</v>
      </c>
      <c r="C1610" s="1" t="s">
        <v>3083</v>
      </c>
      <c r="E1610">
        <f t="shared" si="25"/>
        <v>0</v>
      </c>
    </row>
    <row r="1611" spans="1:5">
      <c r="A1611" s="1">
        <f>IF(C1611="","",COUNTA(C$4:C1611))</f>
        <v>1595</v>
      </c>
      <c r="B1611" s="1" t="s">
        <v>3084</v>
      </c>
      <c r="C1611" s="1" t="s">
        <v>3085</v>
      </c>
      <c r="E1611">
        <f t="shared" si="25"/>
        <v>0</v>
      </c>
    </row>
    <row r="1612" spans="1:5">
      <c r="A1612" s="12" t="s">
        <v>3086</v>
      </c>
      <c r="B1612" s="13"/>
      <c r="C1612" s="14"/>
      <c r="D1612" s="9"/>
      <c r="E1612">
        <f t="shared" si="25"/>
        <v>1</v>
      </c>
    </row>
    <row r="1613" spans="1:5">
      <c r="A1613" s="1">
        <f>IF(C1613="","",COUNTA(C$4:C1613))</f>
        <v>1596</v>
      </c>
      <c r="B1613" s="1" t="s">
        <v>3087</v>
      </c>
      <c r="C1613" s="1" t="s">
        <v>3088</v>
      </c>
      <c r="E1613">
        <f t="shared" si="25"/>
        <v>0</v>
      </c>
    </row>
    <row r="1614" spans="1:5">
      <c r="A1614" s="1">
        <f>IF(C1614="","",COUNTA(C$4:C1614))</f>
        <v>1597</v>
      </c>
      <c r="B1614" s="1" t="s">
        <v>3089</v>
      </c>
      <c r="C1614" s="1" t="s">
        <v>3090</v>
      </c>
      <c r="E1614">
        <f t="shared" si="25"/>
        <v>0</v>
      </c>
    </row>
    <row r="1615" spans="1:5">
      <c r="A1615" s="1">
        <f>IF(C1615="","",COUNTA(C$4:C1615))</f>
        <v>1598</v>
      </c>
      <c r="B1615" s="1" t="s">
        <v>3091</v>
      </c>
      <c r="C1615" s="1" t="s">
        <v>3092</v>
      </c>
      <c r="E1615">
        <f t="shared" si="25"/>
        <v>0</v>
      </c>
    </row>
    <row r="1616" spans="1:5">
      <c r="A1616" s="1">
        <f>IF(C1616="","",COUNTA(C$4:C1616))</f>
        <v>1599</v>
      </c>
      <c r="B1616" s="1" t="s">
        <v>3093</v>
      </c>
      <c r="C1616" s="1" t="s">
        <v>3094</v>
      </c>
      <c r="E1616">
        <f t="shared" si="25"/>
        <v>0</v>
      </c>
    </row>
    <row r="1617" spans="1:5">
      <c r="A1617" s="1">
        <f>IF(C1617="","",COUNTA(C$4:C1617))</f>
        <v>1600</v>
      </c>
      <c r="B1617" s="1" t="s">
        <v>3095</v>
      </c>
      <c r="C1617" s="1" t="s">
        <v>3096</v>
      </c>
      <c r="E1617">
        <f t="shared" si="25"/>
        <v>0</v>
      </c>
    </row>
    <row r="1618" spans="1:5">
      <c r="A1618" s="1">
        <f>IF(C1618="","",COUNTA(C$4:C1618))</f>
        <v>1601</v>
      </c>
      <c r="B1618" s="1" t="s">
        <v>3097</v>
      </c>
      <c r="C1618" s="1" t="s">
        <v>3098</v>
      </c>
      <c r="E1618">
        <f t="shared" si="25"/>
        <v>0</v>
      </c>
    </row>
    <row r="1619" spans="1:5">
      <c r="A1619" s="1">
        <f>IF(C1619="","",COUNTA(C$4:C1619))</f>
        <v>1602</v>
      </c>
      <c r="B1619" s="1" t="s">
        <v>3099</v>
      </c>
      <c r="C1619" s="1" t="s">
        <v>3100</v>
      </c>
      <c r="E1619">
        <f t="shared" si="25"/>
        <v>0</v>
      </c>
    </row>
    <row r="1620" spans="1:5">
      <c r="A1620" s="1">
        <f>IF(C1620="","",COUNTA(C$4:C1620))</f>
        <v>1603</v>
      </c>
      <c r="B1620" s="1" t="s">
        <v>3099</v>
      </c>
      <c r="C1620" s="1" t="s">
        <v>3101</v>
      </c>
      <c r="E1620">
        <f t="shared" si="25"/>
        <v>0</v>
      </c>
    </row>
    <row r="1621" spans="1:5">
      <c r="A1621" s="1">
        <f>IF(C1621="","",COUNTA(C$4:C1621))</f>
        <v>1604</v>
      </c>
      <c r="B1621" s="1" t="s">
        <v>3102</v>
      </c>
      <c r="C1621" s="1" t="s">
        <v>3103</v>
      </c>
      <c r="E1621">
        <f t="shared" si="25"/>
        <v>0</v>
      </c>
    </row>
    <row r="1622" spans="1:5">
      <c r="A1622" s="1">
        <f>IF(C1622="","",COUNTA(C$4:C1622))</f>
        <v>1605</v>
      </c>
      <c r="B1622" s="1" t="s">
        <v>3104</v>
      </c>
      <c r="C1622" s="1" t="s">
        <v>3105</v>
      </c>
      <c r="E1622">
        <f t="shared" si="25"/>
        <v>0</v>
      </c>
    </row>
    <row r="1623" spans="1:5">
      <c r="A1623" s="1">
        <f>IF(C1623="","",COUNTA(C$4:C1623))</f>
        <v>1606</v>
      </c>
      <c r="B1623" s="1" t="s">
        <v>3106</v>
      </c>
      <c r="C1623" s="1" t="s">
        <v>3107</v>
      </c>
      <c r="E1623">
        <f t="shared" si="25"/>
        <v>0</v>
      </c>
    </row>
    <row r="1624" spans="1:5">
      <c r="A1624" s="1">
        <f>IF(C1624="","",COUNTA(C$4:C1624))</f>
        <v>1607</v>
      </c>
      <c r="B1624" s="1" t="s">
        <v>3108</v>
      </c>
      <c r="C1624" s="1" t="s">
        <v>3109</v>
      </c>
      <c r="E1624">
        <f t="shared" si="25"/>
        <v>0</v>
      </c>
    </row>
    <row r="1625" spans="1:5">
      <c r="A1625" s="1">
        <f>IF(C1625="","",COUNTA(C$4:C1625))</f>
        <v>1608</v>
      </c>
      <c r="B1625" s="1" t="s">
        <v>3110</v>
      </c>
      <c r="C1625" s="1" t="s">
        <v>3111</v>
      </c>
      <c r="E1625">
        <f t="shared" si="25"/>
        <v>0</v>
      </c>
    </row>
    <row r="1626" spans="1:5">
      <c r="A1626" s="1">
        <f>IF(C1626="","",COUNTA(C$4:C1626))</f>
        <v>1609</v>
      </c>
      <c r="B1626" s="1" t="s">
        <v>3112</v>
      </c>
      <c r="C1626" s="1" t="s">
        <v>3113</v>
      </c>
      <c r="E1626">
        <f t="shared" si="25"/>
        <v>0</v>
      </c>
    </row>
    <row r="1627" spans="1:5">
      <c r="A1627" s="1">
        <f>IF(C1627="","",COUNTA(C$4:C1627))</f>
        <v>1610</v>
      </c>
      <c r="B1627" s="1" t="s">
        <v>3114</v>
      </c>
      <c r="C1627" s="1" t="s">
        <v>3115</v>
      </c>
      <c r="E1627">
        <f t="shared" si="25"/>
        <v>0</v>
      </c>
    </row>
    <row r="1628" spans="1:5">
      <c r="A1628" s="1">
        <f>IF(C1628="","",COUNTA(C$4:C1628))</f>
        <v>1611</v>
      </c>
      <c r="B1628" s="1" t="s">
        <v>3116</v>
      </c>
      <c r="C1628" s="1" t="s">
        <v>3117</v>
      </c>
      <c r="E1628">
        <f t="shared" si="25"/>
        <v>0</v>
      </c>
    </row>
    <row r="1629" spans="1:5">
      <c r="A1629" s="1">
        <f>IF(C1629="","",COUNTA(C$4:C1629))</f>
        <v>1612</v>
      </c>
      <c r="B1629" s="1" t="s">
        <v>3118</v>
      </c>
      <c r="C1629" s="1" t="s">
        <v>3119</v>
      </c>
      <c r="E1629">
        <f t="shared" si="25"/>
        <v>0</v>
      </c>
    </row>
    <row r="1630" spans="1:5">
      <c r="A1630" s="1">
        <f>IF(C1630="","",COUNTA(C$4:C1630))</f>
        <v>1613</v>
      </c>
      <c r="B1630" s="1" t="s">
        <v>3120</v>
      </c>
      <c r="C1630" s="1" t="s">
        <v>3121</v>
      </c>
      <c r="E1630">
        <f t="shared" si="25"/>
        <v>0</v>
      </c>
    </row>
    <row r="1631" spans="1:5">
      <c r="A1631" s="1">
        <f>IF(C1631="","",COUNTA(C$4:C1631))</f>
        <v>1614</v>
      </c>
      <c r="B1631" s="1" t="s">
        <v>3122</v>
      </c>
      <c r="C1631" s="1" t="s">
        <v>3123</v>
      </c>
      <c r="E1631">
        <f t="shared" si="25"/>
        <v>0</v>
      </c>
    </row>
    <row r="1632" spans="1:5">
      <c r="A1632" s="1">
        <f>IF(C1632="","",COUNTA(C$4:C1632))</f>
        <v>1615</v>
      </c>
      <c r="B1632" s="1" t="s">
        <v>3124</v>
      </c>
      <c r="C1632" s="1" t="s">
        <v>3125</v>
      </c>
      <c r="E1632">
        <f t="shared" si="25"/>
        <v>0</v>
      </c>
    </row>
    <row r="1633" spans="1:5">
      <c r="A1633" s="1">
        <f>IF(C1633="","",COUNTA(C$4:C1633))</f>
        <v>1616</v>
      </c>
      <c r="B1633" s="1" t="s">
        <v>3126</v>
      </c>
      <c r="C1633" s="1" t="s">
        <v>3127</v>
      </c>
      <c r="E1633">
        <f t="shared" si="25"/>
        <v>0</v>
      </c>
    </row>
    <row r="1634" spans="1:5">
      <c r="A1634" s="1">
        <f>IF(C1634="","",COUNTA(C$4:C1634))</f>
        <v>1617</v>
      </c>
      <c r="B1634" s="1" t="s">
        <v>3128</v>
      </c>
      <c r="C1634" s="1" t="s">
        <v>3129</v>
      </c>
      <c r="E1634">
        <f t="shared" si="25"/>
        <v>0</v>
      </c>
    </row>
    <row r="1635" spans="1:5">
      <c r="A1635" s="1">
        <f>IF(C1635="","",COUNTA(C$4:C1635))</f>
        <v>1618</v>
      </c>
      <c r="B1635" s="1" t="s">
        <v>3130</v>
      </c>
      <c r="C1635" s="1" t="s">
        <v>3131</v>
      </c>
      <c r="E1635">
        <f t="shared" si="25"/>
        <v>0</v>
      </c>
    </row>
    <row r="1636" spans="1:5">
      <c r="A1636" s="1">
        <f>IF(C1636="","",COUNTA(C$4:C1636))</f>
        <v>1619</v>
      </c>
      <c r="B1636" s="1" t="s">
        <v>3132</v>
      </c>
      <c r="C1636" s="1" t="s">
        <v>3133</v>
      </c>
      <c r="E1636">
        <f t="shared" si="25"/>
        <v>0</v>
      </c>
    </row>
    <row r="1637" spans="1:5">
      <c r="A1637" s="1">
        <f>IF(C1637="","",COUNTA(C$4:C1637))</f>
        <v>1620</v>
      </c>
      <c r="B1637" s="1" t="s">
        <v>3134</v>
      </c>
      <c r="C1637" s="1" t="s">
        <v>3135</v>
      </c>
      <c r="E1637">
        <f t="shared" si="25"/>
        <v>0</v>
      </c>
    </row>
    <row r="1638" spans="1:5">
      <c r="A1638" s="1">
        <f>IF(C1638="","",COUNTA(C$4:C1638))</f>
        <v>1621</v>
      </c>
      <c r="B1638" s="1" t="s">
        <v>3136</v>
      </c>
      <c r="C1638" s="1" t="s">
        <v>3137</v>
      </c>
      <c r="E1638">
        <f t="shared" si="25"/>
        <v>0</v>
      </c>
    </row>
    <row r="1639" spans="1:5">
      <c r="A1639" s="1">
        <f>IF(C1639="","",COUNTA(C$4:C1639))</f>
        <v>1622</v>
      </c>
      <c r="B1639" s="1" t="s">
        <v>3138</v>
      </c>
      <c r="C1639" s="1" t="s">
        <v>3139</v>
      </c>
      <c r="E1639">
        <f t="shared" si="25"/>
        <v>0</v>
      </c>
    </row>
    <row r="1640" spans="1:5">
      <c r="A1640" s="1">
        <f>IF(C1640="","",COUNTA(C$4:C1640))</f>
        <v>1623</v>
      </c>
      <c r="B1640" s="1" t="s">
        <v>3140</v>
      </c>
      <c r="C1640" s="1" t="s">
        <v>3141</v>
      </c>
      <c r="E1640">
        <f t="shared" si="25"/>
        <v>0</v>
      </c>
    </row>
    <row r="1641" spans="1:5">
      <c r="A1641" s="1">
        <f>IF(C1641="","",COUNTA(C$4:C1641))</f>
        <v>1624</v>
      </c>
      <c r="B1641" s="1" t="s">
        <v>3142</v>
      </c>
      <c r="C1641" s="1" t="s">
        <v>3143</v>
      </c>
      <c r="E1641">
        <f t="shared" si="25"/>
        <v>0</v>
      </c>
    </row>
    <row r="1642" spans="1:5">
      <c r="A1642" s="1">
        <f>IF(C1642="","",COUNTA(C$4:C1642))</f>
        <v>1625</v>
      </c>
      <c r="B1642" s="1" t="s">
        <v>3144</v>
      </c>
      <c r="C1642" s="1" t="s">
        <v>3145</v>
      </c>
      <c r="E1642">
        <f t="shared" si="25"/>
        <v>0</v>
      </c>
    </row>
    <row r="1643" spans="1:5">
      <c r="A1643" s="1">
        <f>IF(C1643="","",COUNTA(C$4:C1643))</f>
        <v>1626</v>
      </c>
      <c r="B1643" s="1" t="s">
        <v>3146</v>
      </c>
      <c r="C1643" s="1" t="s">
        <v>3147</v>
      </c>
      <c r="E1643">
        <f t="shared" si="25"/>
        <v>0</v>
      </c>
    </row>
    <row r="1644" spans="1:5">
      <c r="A1644" s="1">
        <f>IF(C1644="","",COUNTA(C$4:C1644))</f>
        <v>1627</v>
      </c>
      <c r="B1644" s="1" t="s">
        <v>3148</v>
      </c>
      <c r="C1644" s="1" t="s">
        <v>3149</v>
      </c>
      <c r="E1644">
        <f t="shared" si="25"/>
        <v>0</v>
      </c>
    </row>
    <row r="1645" spans="1:5">
      <c r="A1645" s="1">
        <f>IF(C1645="","",COUNTA(C$4:C1645))</f>
        <v>1628</v>
      </c>
      <c r="B1645" s="1" t="s">
        <v>3150</v>
      </c>
      <c r="C1645" s="1" t="s">
        <v>3151</v>
      </c>
      <c r="E1645">
        <f t="shared" si="25"/>
        <v>0</v>
      </c>
    </row>
    <row r="1646" spans="1:5">
      <c r="A1646" s="1">
        <f>IF(C1646="","",COUNTA(C$4:C1646))</f>
        <v>1629</v>
      </c>
      <c r="B1646" s="1" t="s">
        <v>3152</v>
      </c>
      <c r="C1646" s="1" t="s">
        <v>3153</v>
      </c>
      <c r="E1646">
        <f t="shared" si="25"/>
        <v>0</v>
      </c>
    </row>
    <row r="1647" spans="1:5">
      <c r="A1647" s="1">
        <f>IF(C1647="","",COUNTA(C$4:C1647))</f>
        <v>1630</v>
      </c>
      <c r="B1647" s="1" t="s">
        <v>3154</v>
      </c>
      <c r="C1647" s="1" t="s">
        <v>3155</v>
      </c>
      <c r="E1647">
        <f t="shared" si="25"/>
        <v>0</v>
      </c>
    </row>
    <row r="1648" spans="1:5">
      <c r="A1648" s="1">
        <f>IF(C1648="","",COUNTA(C$4:C1648))</f>
        <v>1631</v>
      </c>
      <c r="B1648" s="1" t="s">
        <v>3156</v>
      </c>
      <c r="C1648" s="1" t="s">
        <v>3157</v>
      </c>
      <c r="E1648">
        <f t="shared" si="25"/>
        <v>0</v>
      </c>
    </row>
    <row r="1649" spans="1:5">
      <c r="A1649" s="1">
        <f>IF(C1649="","",COUNTA(C$4:C1649))</f>
        <v>1632</v>
      </c>
      <c r="B1649" s="1" t="s">
        <v>3158</v>
      </c>
      <c r="C1649" s="1" t="s">
        <v>3159</v>
      </c>
      <c r="E1649">
        <f t="shared" si="25"/>
        <v>0</v>
      </c>
    </row>
    <row r="1650" spans="1:5">
      <c r="A1650" s="1">
        <f>IF(C1650="","",COUNTA(C$4:C1650))</f>
        <v>1633</v>
      </c>
      <c r="B1650" s="1" t="s">
        <v>3158</v>
      </c>
      <c r="C1650" s="1" t="s">
        <v>3160</v>
      </c>
      <c r="E1650">
        <f t="shared" si="25"/>
        <v>0</v>
      </c>
    </row>
    <row r="1651" spans="1:5">
      <c r="A1651" s="1">
        <f>IF(C1651="","",COUNTA(C$4:C1651))</f>
        <v>1634</v>
      </c>
      <c r="B1651" s="1" t="s">
        <v>3161</v>
      </c>
      <c r="C1651" s="1" t="s">
        <v>3162</v>
      </c>
      <c r="E1651">
        <f t="shared" si="25"/>
        <v>0</v>
      </c>
    </row>
    <row r="1652" spans="1:5">
      <c r="A1652" s="1">
        <f>IF(C1652="","",COUNTA(C$4:C1652))</f>
        <v>1635</v>
      </c>
      <c r="B1652" s="1" t="s">
        <v>3163</v>
      </c>
      <c r="C1652" s="1" t="s">
        <v>3164</v>
      </c>
      <c r="E1652">
        <f t="shared" si="25"/>
        <v>0</v>
      </c>
    </row>
    <row r="1653" spans="1:5">
      <c r="A1653" s="1">
        <f>IF(C1653="","",COUNTA(C$4:C1653))</f>
        <v>1636</v>
      </c>
      <c r="B1653" s="1" t="s">
        <v>3165</v>
      </c>
      <c r="C1653" s="1" t="s">
        <v>3166</v>
      </c>
      <c r="E1653">
        <f t="shared" si="25"/>
        <v>0</v>
      </c>
    </row>
    <row r="1654" spans="1:5">
      <c r="A1654" s="1">
        <f>IF(C1654="","",COUNTA(C$4:C1654))</f>
        <v>1637</v>
      </c>
      <c r="B1654" s="1" t="s">
        <v>3167</v>
      </c>
      <c r="C1654" s="1" t="s">
        <v>3168</v>
      </c>
      <c r="E1654">
        <f t="shared" si="25"/>
        <v>0</v>
      </c>
    </row>
    <row r="1655" spans="1:5">
      <c r="A1655" s="1">
        <f>IF(C1655="","",COUNTA(C$4:C1655))</f>
        <v>1638</v>
      </c>
      <c r="B1655" s="1" t="s">
        <v>3169</v>
      </c>
      <c r="C1655" s="1" t="s">
        <v>3170</v>
      </c>
      <c r="E1655">
        <f t="shared" si="25"/>
        <v>0</v>
      </c>
    </row>
    <row r="1656" spans="1:5">
      <c r="A1656" s="1">
        <f>IF(C1656="","",COUNTA(C$4:C1656))</f>
        <v>1639</v>
      </c>
      <c r="B1656" s="1" t="s">
        <v>3169</v>
      </c>
      <c r="C1656" s="1" t="s">
        <v>3171</v>
      </c>
      <c r="E1656">
        <f t="shared" si="25"/>
        <v>0</v>
      </c>
    </row>
    <row r="1657" spans="1:5">
      <c r="A1657" s="1">
        <f>IF(C1657="","",COUNTA(C$4:C1657))</f>
        <v>1640</v>
      </c>
      <c r="B1657" s="1" t="s">
        <v>3172</v>
      </c>
      <c r="C1657" s="1" t="s">
        <v>3173</v>
      </c>
      <c r="E1657">
        <f t="shared" si="25"/>
        <v>0</v>
      </c>
    </row>
    <row r="1658" spans="1:5">
      <c r="A1658" s="1">
        <f>IF(C1658="","",COUNTA(C$4:C1658))</f>
        <v>1641</v>
      </c>
      <c r="B1658" s="1" t="s">
        <v>3174</v>
      </c>
      <c r="C1658" s="1" t="s">
        <v>3175</v>
      </c>
      <c r="E1658">
        <f t="shared" si="25"/>
        <v>0</v>
      </c>
    </row>
    <row r="1659" spans="1:5">
      <c r="A1659" s="1">
        <f>IF(C1659="","",COUNTA(C$4:C1659))</f>
        <v>1642</v>
      </c>
      <c r="B1659" s="1" t="s">
        <v>3176</v>
      </c>
      <c r="C1659" s="1" t="s">
        <v>3177</v>
      </c>
      <c r="E1659">
        <f t="shared" si="25"/>
        <v>0</v>
      </c>
    </row>
    <row r="1660" spans="1:5">
      <c r="A1660" s="1">
        <f>IF(C1660="","",COUNTA(C$4:C1660))</f>
        <v>1643</v>
      </c>
      <c r="B1660" s="1" t="s">
        <v>3178</v>
      </c>
      <c r="C1660" s="1" t="s">
        <v>3179</v>
      </c>
      <c r="E1660">
        <f t="shared" si="25"/>
        <v>0</v>
      </c>
    </row>
    <row r="1661" spans="1:5">
      <c r="A1661" s="1">
        <f>IF(C1661="","",COUNTA(C$4:C1661))</f>
        <v>1644</v>
      </c>
      <c r="B1661" s="1" t="s">
        <v>3180</v>
      </c>
      <c r="C1661" s="1" t="s">
        <v>3181</v>
      </c>
      <c r="E1661">
        <f t="shared" si="25"/>
        <v>0</v>
      </c>
    </row>
    <row r="1662" spans="1:5">
      <c r="A1662" s="1">
        <f>IF(C1662="","",COUNTA(C$4:C1662))</f>
        <v>1645</v>
      </c>
      <c r="B1662" s="1" t="s">
        <v>3182</v>
      </c>
      <c r="C1662" s="1" t="s">
        <v>3183</v>
      </c>
      <c r="E1662">
        <f t="shared" si="25"/>
        <v>0</v>
      </c>
    </row>
    <row r="1663" spans="1:5">
      <c r="A1663" s="1">
        <f>IF(C1663="","",COUNTA(C$4:C1663))</f>
        <v>1646</v>
      </c>
      <c r="B1663" s="1" t="s">
        <v>3184</v>
      </c>
      <c r="C1663" s="1" t="s">
        <v>3185</v>
      </c>
      <c r="E1663">
        <f t="shared" si="25"/>
        <v>0</v>
      </c>
    </row>
    <row r="1664" spans="1:5">
      <c r="A1664" s="1">
        <f>IF(C1664="","",COUNTA(C$4:C1664))</f>
        <v>1647</v>
      </c>
      <c r="B1664" s="1" t="s">
        <v>3186</v>
      </c>
      <c r="C1664" s="1" t="s">
        <v>3187</v>
      </c>
      <c r="E1664">
        <f t="shared" si="25"/>
        <v>0</v>
      </c>
    </row>
    <row r="1665" spans="1:5">
      <c r="A1665" s="1">
        <f>IF(C1665="","",COUNTA(C$4:C1665))</f>
        <v>1648</v>
      </c>
      <c r="B1665" s="1" t="s">
        <v>3188</v>
      </c>
      <c r="C1665" s="1" t="s">
        <v>3189</v>
      </c>
      <c r="E1665">
        <f t="shared" si="25"/>
        <v>0</v>
      </c>
    </row>
    <row r="1666" spans="1:5">
      <c r="A1666" s="1">
        <f>IF(C1666="","",COUNTA(C$4:C1666))</f>
        <v>1649</v>
      </c>
      <c r="B1666" s="1" t="s">
        <v>3190</v>
      </c>
      <c r="C1666" s="1" t="s">
        <v>3191</v>
      </c>
      <c r="E1666">
        <f t="shared" si="25"/>
        <v>0</v>
      </c>
    </row>
    <row r="1667" spans="1:5">
      <c r="A1667" s="1">
        <f>IF(C1667="","",COUNTA(C$4:C1667))</f>
        <v>1650</v>
      </c>
      <c r="B1667" s="1" t="s">
        <v>3192</v>
      </c>
      <c r="C1667" s="1" t="s">
        <v>3193</v>
      </c>
      <c r="E1667">
        <f t="shared" si="25"/>
        <v>0</v>
      </c>
    </row>
    <row r="1668" spans="1:5">
      <c r="A1668" s="1">
        <f>IF(C1668="","",COUNTA(C$4:C1668))</f>
        <v>1651</v>
      </c>
      <c r="B1668" s="1" t="s">
        <v>3194</v>
      </c>
      <c r="C1668" s="1" t="s">
        <v>3195</v>
      </c>
      <c r="E1668">
        <f t="shared" si="25"/>
        <v>0</v>
      </c>
    </row>
    <row r="1669" spans="1:5">
      <c r="A1669" s="1">
        <f>IF(C1669="","",COUNTA(C$4:C1669))</f>
        <v>1652</v>
      </c>
      <c r="B1669" s="1" t="s">
        <v>3196</v>
      </c>
      <c r="C1669" s="1" t="s">
        <v>3197</v>
      </c>
      <c r="E1669">
        <f t="shared" ref="E1669:E1732" si="26">IF(C1669=D1669,1,0)</f>
        <v>0</v>
      </c>
    </row>
    <row r="1670" spans="1:5">
      <c r="A1670" s="1">
        <f>IF(C1670="","",COUNTA(C$4:C1670))</f>
        <v>1653</v>
      </c>
      <c r="B1670" s="1" t="s">
        <v>3198</v>
      </c>
      <c r="C1670" s="1" t="s">
        <v>3199</v>
      </c>
      <c r="E1670">
        <f t="shared" si="26"/>
        <v>0</v>
      </c>
    </row>
    <row r="1671" spans="1:5">
      <c r="A1671" s="1">
        <f>IF(C1671="","",COUNTA(C$4:C1671))</f>
        <v>1654</v>
      </c>
      <c r="B1671" s="1" t="s">
        <v>3200</v>
      </c>
      <c r="C1671" s="1" t="s">
        <v>3201</v>
      </c>
      <c r="E1671">
        <f t="shared" si="26"/>
        <v>0</v>
      </c>
    </row>
    <row r="1672" spans="1:5">
      <c r="A1672" s="1">
        <f>IF(C1672="","",COUNTA(C$4:C1672))</f>
        <v>1655</v>
      </c>
      <c r="B1672" s="1" t="s">
        <v>3202</v>
      </c>
      <c r="C1672" s="1" t="s">
        <v>302</v>
      </c>
      <c r="E1672">
        <f t="shared" si="26"/>
        <v>0</v>
      </c>
    </row>
    <row r="1673" spans="1:5">
      <c r="A1673" s="1">
        <f>IF(C1673="","",COUNTA(C$4:C1673))</f>
        <v>1656</v>
      </c>
      <c r="B1673" s="1" t="s">
        <v>3203</v>
      </c>
      <c r="C1673" s="1" t="s">
        <v>3204</v>
      </c>
      <c r="E1673">
        <f t="shared" si="26"/>
        <v>0</v>
      </c>
    </row>
    <row r="1674" spans="1:5">
      <c r="A1674" s="1">
        <f>IF(C1674="","",COUNTA(C$4:C1674))</f>
        <v>1657</v>
      </c>
      <c r="B1674" s="1" t="s">
        <v>3205</v>
      </c>
      <c r="C1674" s="1" t="s">
        <v>3206</v>
      </c>
      <c r="E1674">
        <f t="shared" si="26"/>
        <v>0</v>
      </c>
    </row>
    <row r="1675" spans="1:5">
      <c r="A1675" s="1">
        <f>IF(C1675="","",COUNTA(C$4:C1675))</f>
        <v>1658</v>
      </c>
      <c r="B1675" s="1" t="s">
        <v>3207</v>
      </c>
      <c r="C1675" s="1" t="s">
        <v>3208</v>
      </c>
      <c r="E1675">
        <f t="shared" si="26"/>
        <v>0</v>
      </c>
    </row>
    <row r="1676" spans="1:5">
      <c r="A1676" s="1">
        <f>IF(C1676="","",COUNTA(C$4:C1676))</f>
        <v>1659</v>
      </c>
      <c r="B1676" s="1" t="s">
        <v>3209</v>
      </c>
      <c r="C1676" s="1" t="s">
        <v>3210</v>
      </c>
      <c r="E1676">
        <f t="shared" si="26"/>
        <v>0</v>
      </c>
    </row>
    <row r="1677" spans="1:5">
      <c r="A1677" s="1">
        <f>IF(C1677="","",COUNTA(C$4:C1677))</f>
        <v>1660</v>
      </c>
      <c r="B1677" s="1" t="s">
        <v>3211</v>
      </c>
      <c r="C1677" s="1" t="s">
        <v>3212</v>
      </c>
      <c r="E1677">
        <f t="shared" si="26"/>
        <v>0</v>
      </c>
    </row>
    <row r="1678" spans="1:5">
      <c r="A1678" s="1">
        <f>IF(C1678="","",COUNTA(C$4:C1678))</f>
        <v>1661</v>
      </c>
      <c r="B1678" s="1" t="s">
        <v>3213</v>
      </c>
      <c r="C1678" s="1" t="s">
        <v>3214</v>
      </c>
      <c r="E1678">
        <f t="shared" si="26"/>
        <v>0</v>
      </c>
    </row>
    <row r="1679" spans="1:5">
      <c r="A1679" s="1">
        <f>IF(C1679="","",COUNTA(C$4:C1679))</f>
        <v>1662</v>
      </c>
      <c r="B1679" s="1" t="s">
        <v>3215</v>
      </c>
      <c r="C1679" s="1" t="s">
        <v>3216</v>
      </c>
      <c r="E1679">
        <f t="shared" si="26"/>
        <v>0</v>
      </c>
    </row>
    <row r="1680" spans="1:5">
      <c r="A1680" s="1">
        <f>IF(C1680="","",COUNTA(C$4:C1680))</f>
        <v>1663</v>
      </c>
      <c r="B1680" s="1" t="s">
        <v>3217</v>
      </c>
      <c r="C1680" s="1" t="s">
        <v>3218</v>
      </c>
      <c r="E1680">
        <f t="shared" si="26"/>
        <v>0</v>
      </c>
    </row>
    <row r="1681" spans="1:5">
      <c r="A1681" s="1">
        <f>IF(C1681="","",COUNTA(C$4:C1681))</f>
        <v>1664</v>
      </c>
      <c r="B1681" s="1" t="s">
        <v>3219</v>
      </c>
      <c r="C1681" s="1" t="s">
        <v>3220</v>
      </c>
      <c r="E1681">
        <f t="shared" si="26"/>
        <v>0</v>
      </c>
    </row>
    <row r="1682" spans="1:5">
      <c r="A1682" s="1">
        <f>IF(C1682="","",COUNTA(C$4:C1682))</f>
        <v>1665</v>
      </c>
      <c r="B1682" s="1" t="s">
        <v>3221</v>
      </c>
      <c r="C1682" s="1" t="s">
        <v>3222</v>
      </c>
      <c r="E1682">
        <f t="shared" si="26"/>
        <v>0</v>
      </c>
    </row>
    <row r="1683" spans="1:5">
      <c r="A1683" s="1">
        <f>IF(C1683="","",COUNTA(C$4:C1683))</f>
        <v>1666</v>
      </c>
      <c r="B1683" s="1" t="s">
        <v>3223</v>
      </c>
      <c r="C1683" s="1" t="s">
        <v>3224</v>
      </c>
      <c r="E1683">
        <f t="shared" si="26"/>
        <v>0</v>
      </c>
    </row>
    <row r="1684" spans="1:5">
      <c r="A1684" s="1">
        <f>IF(C1684="","",COUNTA(C$4:C1684))</f>
        <v>1667</v>
      </c>
      <c r="B1684" s="1" t="s">
        <v>3225</v>
      </c>
      <c r="C1684" s="1" t="s">
        <v>3226</v>
      </c>
      <c r="E1684">
        <f t="shared" si="26"/>
        <v>0</v>
      </c>
    </row>
    <row r="1685" spans="1:5">
      <c r="A1685" s="1">
        <f>IF(C1685="","",COUNTA(C$4:C1685))</f>
        <v>1668</v>
      </c>
      <c r="B1685" s="1" t="s">
        <v>3227</v>
      </c>
      <c r="C1685" s="1" t="s">
        <v>3228</v>
      </c>
      <c r="E1685">
        <f t="shared" si="26"/>
        <v>0</v>
      </c>
    </row>
    <row r="1686" spans="1:5">
      <c r="A1686" s="1">
        <f>IF(C1686="","",COUNTA(C$4:C1686))</f>
        <v>1669</v>
      </c>
      <c r="B1686" s="1" t="s">
        <v>3229</v>
      </c>
      <c r="C1686" s="1" t="s">
        <v>3230</v>
      </c>
      <c r="E1686">
        <f t="shared" si="26"/>
        <v>0</v>
      </c>
    </row>
    <row r="1687" spans="1:5">
      <c r="A1687" s="1">
        <f>IF(C1687="","",COUNTA(C$4:C1687))</f>
        <v>1670</v>
      </c>
      <c r="B1687" s="1" t="s">
        <v>3231</v>
      </c>
      <c r="C1687" s="1" t="s">
        <v>3232</v>
      </c>
      <c r="E1687">
        <f t="shared" si="26"/>
        <v>0</v>
      </c>
    </row>
    <row r="1688" spans="1:5">
      <c r="A1688" s="1">
        <f>IF(C1688="","",COUNTA(C$4:C1688))</f>
        <v>1671</v>
      </c>
      <c r="B1688" s="1" t="s">
        <v>3233</v>
      </c>
      <c r="C1688" s="1" t="s">
        <v>3234</v>
      </c>
      <c r="E1688">
        <f t="shared" si="26"/>
        <v>0</v>
      </c>
    </row>
    <row r="1689" spans="1:5">
      <c r="A1689" s="1">
        <f>IF(C1689="","",COUNTA(C$4:C1689))</f>
        <v>1672</v>
      </c>
      <c r="B1689" s="1" t="s">
        <v>3235</v>
      </c>
      <c r="C1689" s="1" t="s">
        <v>3236</v>
      </c>
      <c r="E1689">
        <f t="shared" si="26"/>
        <v>0</v>
      </c>
    </row>
    <row r="1690" spans="1:5">
      <c r="A1690" s="1">
        <f>IF(C1690="","",COUNTA(C$4:C1690))</f>
        <v>1673</v>
      </c>
      <c r="B1690" s="1" t="s">
        <v>3237</v>
      </c>
      <c r="C1690" s="1" t="s">
        <v>3238</v>
      </c>
      <c r="E1690">
        <f t="shared" si="26"/>
        <v>0</v>
      </c>
    </row>
    <row r="1691" spans="1:5">
      <c r="A1691" s="1">
        <f>IF(C1691="","",COUNTA(C$4:C1691))</f>
        <v>1674</v>
      </c>
      <c r="B1691" s="1" t="s">
        <v>3239</v>
      </c>
      <c r="C1691" s="1" t="s">
        <v>3240</v>
      </c>
      <c r="E1691">
        <f t="shared" si="26"/>
        <v>0</v>
      </c>
    </row>
    <row r="1692" spans="1:5">
      <c r="A1692" s="1">
        <f>IF(C1692="","",COUNTA(C$4:C1692))</f>
        <v>1675</v>
      </c>
      <c r="B1692" s="1" t="s">
        <v>3241</v>
      </c>
      <c r="C1692" s="1" t="s">
        <v>3242</v>
      </c>
      <c r="E1692">
        <f t="shared" si="26"/>
        <v>0</v>
      </c>
    </row>
    <row r="1693" spans="1:5">
      <c r="A1693" s="1">
        <f>IF(C1693="","",COUNTA(C$4:C1693))</f>
        <v>1676</v>
      </c>
      <c r="B1693" s="1" t="s">
        <v>3243</v>
      </c>
      <c r="C1693" s="1" t="s">
        <v>3244</v>
      </c>
      <c r="E1693">
        <f t="shared" si="26"/>
        <v>0</v>
      </c>
    </row>
    <row r="1694" spans="1:5">
      <c r="A1694" s="1">
        <f>IF(C1694="","",COUNTA(C$4:C1694))</f>
        <v>1677</v>
      </c>
      <c r="B1694" s="1" t="s">
        <v>3245</v>
      </c>
      <c r="C1694" s="1" t="s">
        <v>3246</v>
      </c>
      <c r="E1694">
        <f t="shared" si="26"/>
        <v>0</v>
      </c>
    </row>
    <row r="1695" spans="1:5">
      <c r="A1695" s="1">
        <f>IF(C1695="","",COUNTA(C$4:C1695))</f>
        <v>1678</v>
      </c>
      <c r="B1695" s="1" t="s">
        <v>3247</v>
      </c>
      <c r="C1695" s="1" t="s">
        <v>3248</v>
      </c>
      <c r="E1695">
        <f t="shared" si="26"/>
        <v>0</v>
      </c>
    </row>
    <row r="1696" spans="1:5">
      <c r="A1696" s="1">
        <f>IF(C1696="","",COUNTA(C$4:C1696))</f>
        <v>1679</v>
      </c>
      <c r="B1696" s="1" t="s">
        <v>3249</v>
      </c>
      <c r="C1696" s="1" t="s">
        <v>3250</v>
      </c>
      <c r="E1696">
        <f t="shared" si="26"/>
        <v>0</v>
      </c>
    </row>
    <row r="1697" spans="1:5">
      <c r="A1697" s="1">
        <f>IF(C1697="","",COUNTA(C$4:C1697))</f>
        <v>1680</v>
      </c>
      <c r="B1697" s="1" t="s">
        <v>3251</v>
      </c>
      <c r="C1697" s="1" t="s">
        <v>3252</v>
      </c>
      <c r="E1697">
        <f t="shared" si="26"/>
        <v>0</v>
      </c>
    </row>
    <row r="1698" spans="1:5">
      <c r="A1698" s="1">
        <f>IF(C1698="","",COUNTA(C$4:C1698))</f>
        <v>1681</v>
      </c>
      <c r="B1698" s="1" t="s">
        <v>3249</v>
      </c>
      <c r="C1698" s="1" t="s">
        <v>3253</v>
      </c>
      <c r="E1698">
        <f t="shared" si="26"/>
        <v>0</v>
      </c>
    </row>
    <row r="1699" spans="1:5">
      <c r="A1699" s="1">
        <f>IF(C1699="","",COUNTA(C$4:C1699))</f>
        <v>1682</v>
      </c>
      <c r="B1699" s="1" t="s">
        <v>3254</v>
      </c>
      <c r="C1699" s="1" t="s">
        <v>3255</v>
      </c>
      <c r="E1699">
        <f t="shared" si="26"/>
        <v>0</v>
      </c>
    </row>
    <row r="1700" spans="1:5">
      <c r="A1700" s="1">
        <f>IF(C1700="","",COUNTA(C$4:C1700))</f>
        <v>1683</v>
      </c>
      <c r="B1700" s="1" t="s">
        <v>3256</v>
      </c>
      <c r="C1700" s="1" t="s">
        <v>3257</v>
      </c>
      <c r="E1700">
        <f t="shared" si="26"/>
        <v>0</v>
      </c>
    </row>
    <row r="1701" spans="1:5">
      <c r="A1701" s="1">
        <f>IF(C1701="","",COUNTA(C$4:C1701))</f>
        <v>1684</v>
      </c>
      <c r="B1701" s="1" t="s">
        <v>3258</v>
      </c>
      <c r="C1701" s="1" t="s">
        <v>3259</v>
      </c>
      <c r="E1701">
        <f t="shared" si="26"/>
        <v>0</v>
      </c>
    </row>
    <row r="1702" spans="1:5">
      <c r="A1702" s="1">
        <f>IF(C1702="","",COUNTA(C$4:C1702))</f>
        <v>1685</v>
      </c>
      <c r="B1702" s="1" t="s">
        <v>3260</v>
      </c>
      <c r="C1702" s="1" t="s">
        <v>3261</v>
      </c>
      <c r="E1702">
        <f t="shared" si="26"/>
        <v>0</v>
      </c>
    </row>
    <row r="1703" spans="1:5">
      <c r="A1703" s="1">
        <f>IF(C1703="","",COUNTA(C$4:C1703))</f>
        <v>1686</v>
      </c>
      <c r="B1703" s="1" t="s">
        <v>3262</v>
      </c>
      <c r="C1703" s="1" t="s">
        <v>3263</v>
      </c>
      <c r="E1703">
        <f t="shared" si="26"/>
        <v>0</v>
      </c>
    </row>
    <row r="1704" spans="1:5">
      <c r="A1704" s="1">
        <f>IF(C1704="","",COUNTA(C$4:C1704))</f>
        <v>1687</v>
      </c>
      <c r="B1704" s="1" t="s">
        <v>3264</v>
      </c>
      <c r="C1704" s="1" t="s">
        <v>3265</v>
      </c>
      <c r="E1704">
        <f t="shared" si="26"/>
        <v>0</v>
      </c>
    </row>
    <row r="1705" spans="1:5">
      <c r="A1705" s="1">
        <f>IF(C1705="","",COUNTA(C$4:C1705))</f>
        <v>1688</v>
      </c>
      <c r="B1705" s="1" t="s">
        <v>3266</v>
      </c>
      <c r="C1705" s="3" t="s">
        <v>3267</v>
      </c>
      <c r="E1705">
        <f t="shared" si="26"/>
        <v>0</v>
      </c>
    </row>
    <row r="1706" spans="1:5">
      <c r="A1706" s="1">
        <f>IF(C1706="","",COUNTA(C$4:C1706))</f>
        <v>1689</v>
      </c>
      <c r="B1706" s="1" t="s">
        <v>3268</v>
      </c>
      <c r="C1706" s="1" t="s">
        <v>3269</v>
      </c>
      <c r="E1706">
        <f t="shared" si="26"/>
        <v>0</v>
      </c>
    </row>
    <row r="1707" spans="1:5">
      <c r="A1707" s="1">
        <f>IF(C1707="","",COUNTA(C$4:C1707))</f>
        <v>1690</v>
      </c>
      <c r="B1707" s="1" t="s">
        <v>3270</v>
      </c>
      <c r="C1707" s="1" t="s">
        <v>3271</v>
      </c>
      <c r="E1707">
        <f t="shared" si="26"/>
        <v>0</v>
      </c>
    </row>
    <row r="1708" spans="1:5">
      <c r="A1708" s="1">
        <f>IF(C1708="","",COUNTA(C$4:C1708))</f>
        <v>1691</v>
      </c>
      <c r="B1708" s="1" t="s">
        <v>3272</v>
      </c>
      <c r="C1708" s="1" t="s">
        <v>3273</v>
      </c>
      <c r="E1708">
        <f t="shared" si="26"/>
        <v>0</v>
      </c>
    </row>
    <row r="1709" spans="1:5">
      <c r="A1709" s="1">
        <f>IF(C1709="","",COUNTA(C$4:C1709))</f>
        <v>1692</v>
      </c>
      <c r="B1709" s="1" t="s">
        <v>3274</v>
      </c>
      <c r="C1709" s="1" t="s">
        <v>3275</v>
      </c>
      <c r="E1709">
        <f t="shared" si="26"/>
        <v>0</v>
      </c>
    </row>
    <row r="1710" spans="1:5">
      <c r="A1710" s="1">
        <f>IF(C1710="","",COUNTA(C$4:C1710))</f>
        <v>1693</v>
      </c>
      <c r="B1710" s="1" t="s">
        <v>3276</v>
      </c>
      <c r="C1710" s="1" t="s">
        <v>3277</v>
      </c>
      <c r="E1710">
        <f t="shared" si="26"/>
        <v>0</v>
      </c>
    </row>
    <row r="1711" spans="1:5">
      <c r="A1711" s="1">
        <f>IF(C1711="","",COUNTA(C$4:C1711))</f>
        <v>1694</v>
      </c>
      <c r="B1711" s="1" t="s">
        <v>3278</v>
      </c>
      <c r="C1711" s="1" t="s">
        <v>3279</v>
      </c>
      <c r="E1711">
        <f t="shared" si="26"/>
        <v>0</v>
      </c>
    </row>
    <row r="1712" spans="1:5">
      <c r="A1712" s="1">
        <f>IF(C1712="","",COUNTA(C$4:C1712))</f>
        <v>1695</v>
      </c>
      <c r="B1712" s="1" t="s">
        <v>3280</v>
      </c>
      <c r="C1712" s="1" t="s">
        <v>3281</v>
      </c>
      <c r="E1712">
        <f t="shared" si="26"/>
        <v>0</v>
      </c>
    </row>
    <row r="1713" spans="1:5">
      <c r="A1713" s="1">
        <f>IF(C1713="","",COUNTA(C$4:C1713))</f>
        <v>1696</v>
      </c>
      <c r="B1713" s="1" t="s">
        <v>3282</v>
      </c>
      <c r="C1713" s="1" t="s">
        <v>3283</v>
      </c>
      <c r="E1713">
        <f t="shared" si="26"/>
        <v>0</v>
      </c>
    </row>
    <row r="1714" spans="1:5">
      <c r="A1714" s="1">
        <f>IF(C1714="","",COUNTA(C$4:C1714))</f>
        <v>1697</v>
      </c>
      <c r="B1714" s="1" t="s">
        <v>3284</v>
      </c>
      <c r="C1714" s="1" t="s">
        <v>3285</v>
      </c>
      <c r="E1714">
        <f t="shared" si="26"/>
        <v>0</v>
      </c>
    </row>
    <row r="1715" spans="1:5">
      <c r="A1715" s="1">
        <f>IF(C1715="","",COUNTA(C$4:C1715))</f>
        <v>1698</v>
      </c>
      <c r="B1715" s="1" t="s">
        <v>3286</v>
      </c>
      <c r="C1715" s="1" t="s">
        <v>3287</v>
      </c>
      <c r="E1715">
        <f t="shared" si="26"/>
        <v>0</v>
      </c>
    </row>
    <row r="1716" spans="1:5">
      <c r="A1716" s="1">
        <f>IF(C1716="","",COUNTA(C$4:C1716))</f>
        <v>1699</v>
      </c>
      <c r="B1716" s="1" t="s">
        <v>3288</v>
      </c>
      <c r="C1716" s="1" t="s">
        <v>3289</v>
      </c>
      <c r="E1716">
        <f t="shared" si="26"/>
        <v>0</v>
      </c>
    </row>
    <row r="1717" spans="1:5">
      <c r="A1717" s="1">
        <f>IF(C1717="","",COUNTA(C$4:C1717))</f>
        <v>1700</v>
      </c>
      <c r="B1717" s="1" t="s">
        <v>3290</v>
      </c>
      <c r="C1717" s="1" t="s">
        <v>3291</v>
      </c>
      <c r="E1717">
        <f t="shared" si="26"/>
        <v>0</v>
      </c>
    </row>
    <row r="1718" spans="1:5">
      <c r="A1718" s="1">
        <f>IF(C1718="","",COUNTA(C$4:C1718))</f>
        <v>1701</v>
      </c>
      <c r="B1718" s="1" t="s">
        <v>3292</v>
      </c>
      <c r="C1718" s="1" t="s">
        <v>3293</v>
      </c>
      <c r="E1718">
        <f t="shared" si="26"/>
        <v>0</v>
      </c>
    </row>
    <row r="1719" spans="1:5">
      <c r="A1719" s="1">
        <f>IF(C1719="","",COUNTA(C$4:C1719))</f>
        <v>1702</v>
      </c>
      <c r="B1719" s="1" t="s">
        <v>3294</v>
      </c>
      <c r="C1719" s="1" t="s">
        <v>3295</v>
      </c>
      <c r="E1719">
        <f t="shared" si="26"/>
        <v>0</v>
      </c>
    </row>
    <row r="1720" spans="1:5">
      <c r="A1720" s="1">
        <f>IF(C1720="","",COUNTA(C$4:C1720))</f>
        <v>1703</v>
      </c>
      <c r="B1720" s="1" t="s">
        <v>3296</v>
      </c>
      <c r="C1720" s="1" t="s">
        <v>3297</v>
      </c>
      <c r="E1720">
        <f t="shared" si="26"/>
        <v>0</v>
      </c>
    </row>
    <row r="1721" spans="1:5">
      <c r="A1721" s="1">
        <f>IF(C1721="","",COUNTA(C$4:C1721))</f>
        <v>1704</v>
      </c>
      <c r="B1721" s="1" t="s">
        <v>3298</v>
      </c>
      <c r="C1721" s="3" t="s">
        <v>3299</v>
      </c>
      <c r="E1721">
        <f t="shared" si="26"/>
        <v>0</v>
      </c>
    </row>
    <row r="1722" spans="1:5">
      <c r="A1722" s="1">
        <f>IF(C1722="","",COUNTA(C$4:C1722))</f>
        <v>1705</v>
      </c>
      <c r="B1722" s="1" t="s">
        <v>3298</v>
      </c>
      <c r="C1722" s="1" t="s">
        <v>3300</v>
      </c>
      <c r="E1722">
        <f t="shared" si="26"/>
        <v>0</v>
      </c>
    </row>
    <row r="1723" spans="1:5">
      <c r="A1723" s="1">
        <f>IF(C1723="","",COUNTA(C$4:C1723))</f>
        <v>1706</v>
      </c>
      <c r="B1723" s="1" t="s">
        <v>3301</v>
      </c>
      <c r="C1723" s="1" t="s">
        <v>3302</v>
      </c>
      <c r="E1723">
        <f t="shared" si="26"/>
        <v>0</v>
      </c>
    </row>
    <row r="1724" spans="1:5">
      <c r="A1724" s="12" t="s">
        <v>3303</v>
      </c>
      <c r="B1724" s="13"/>
      <c r="C1724" s="14"/>
      <c r="D1724" s="9"/>
    </row>
    <row r="1725" spans="1:5">
      <c r="A1725" s="1">
        <f>IF(C1725="","",COUNTA(C$4:C1725))</f>
        <v>1707</v>
      </c>
      <c r="B1725" s="1" t="s">
        <v>3304</v>
      </c>
      <c r="C1725" s="1" t="s">
        <v>3305</v>
      </c>
      <c r="E1725">
        <f t="shared" si="26"/>
        <v>0</v>
      </c>
    </row>
    <row r="1726" spans="1:5">
      <c r="A1726" s="1">
        <f>IF(C1726="","",COUNTA(C$4:C1726))</f>
        <v>1708</v>
      </c>
      <c r="B1726" s="1" t="s">
        <v>3306</v>
      </c>
      <c r="C1726" s="1" t="s">
        <v>3307</v>
      </c>
      <c r="E1726">
        <f t="shared" si="26"/>
        <v>0</v>
      </c>
    </row>
    <row r="1727" spans="1:5">
      <c r="A1727" s="1">
        <f>IF(C1727="","",COUNTA(C$4:C1727))</f>
        <v>1709</v>
      </c>
      <c r="B1727" s="1" t="s">
        <v>3308</v>
      </c>
      <c r="C1727" s="1" t="s">
        <v>3309</v>
      </c>
      <c r="E1727">
        <f t="shared" si="26"/>
        <v>0</v>
      </c>
    </row>
    <row r="1728" spans="1:5">
      <c r="A1728" s="1">
        <f>IF(C1728="","",COUNTA(C$4:C1728))</f>
        <v>1710</v>
      </c>
      <c r="B1728" s="1" t="s">
        <v>3310</v>
      </c>
      <c r="C1728" s="1" t="s">
        <v>3311</v>
      </c>
      <c r="E1728">
        <f t="shared" si="26"/>
        <v>0</v>
      </c>
    </row>
    <row r="1729" spans="1:5">
      <c r="A1729" s="1">
        <f>IF(C1729="","",COUNTA(C$4:C1729))</f>
        <v>1711</v>
      </c>
      <c r="B1729" s="1" t="s">
        <v>3312</v>
      </c>
      <c r="C1729" s="1" t="s">
        <v>3313</v>
      </c>
      <c r="E1729">
        <f t="shared" si="26"/>
        <v>0</v>
      </c>
    </row>
    <row r="1730" spans="1:5">
      <c r="A1730" s="1">
        <f>IF(C1730="","",COUNTA(C$4:C1730))</f>
        <v>1712</v>
      </c>
      <c r="B1730" s="1" t="s">
        <v>3314</v>
      </c>
      <c r="C1730" s="1" t="s">
        <v>3315</v>
      </c>
      <c r="E1730">
        <f t="shared" si="26"/>
        <v>0</v>
      </c>
    </row>
    <row r="1731" spans="1:5">
      <c r="A1731" s="1">
        <f>IF(C1731="","",COUNTA(C$4:C1731))</f>
        <v>1713</v>
      </c>
      <c r="B1731" s="1" t="s">
        <v>3316</v>
      </c>
      <c r="C1731" s="1" t="s">
        <v>3317</v>
      </c>
      <c r="E1731">
        <f t="shared" si="26"/>
        <v>0</v>
      </c>
    </row>
    <row r="1732" spans="1:5">
      <c r="A1732" s="1">
        <f>IF(C1732="","",COUNTA(C$4:C1732))</f>
        <v>1714</v>
      </c>
      <c r="B1732" s="1" t="s">
        <v>3318</v>
      </c>
      <c r="C1732" s="1" t="s">
        <v>3319</v>
      </c>
      <c r="E1732">
        <f t="shared" si="26"/>
        <v>0</v>
      </c>
    </row>
    <row r="1733" spans="1:5">
      <c r="A1733" s="1">
        <f>IF(C1733="","",COUNTA(C$4:C1733))</f>
        <v>1715</v>
      </c>
      <c r="B1733" s="1" t="s">
        <v>3320</v>
      </c>
      <c r="C1733" s="1" t="s">
        <v>3321</v>
      </c>
      <c r="E1733">
        <f t="shared" ref="E1733:E1796" si="27">IF(C1733=D1733,1,0)</f>
        <v>0</v>
      </c>
    </row>
    <row r="1734" spans="1:5">
      <c r="A1734" s="1">
        <f>IF(C1734="","",COUNTA(C$4:C1734))</f>
        <v>1716</v>
      </c>
      <c r="B1734" s="1" t="s">
        <v>3322</v>
      </c>
      <c r="C1734" s="1" t="s">
        <v>3323</v>
      </c>
      <c r="E1734">
        <f t="shared" si="27"/>
        <v>0</v>
      </c>
    </row>
    <row r="1735" spans="1:5">
      <c r="A1735" s="1">
        <f>IF(C1735="","",COUNTA(C$4:C1735))</f>
        <v>1717</v>
      </c>
      <c r="B1735" s="1" t="s">
        <v>3324</v>
      </c>
      <c r="C1735" s="1" t="s">
        <v>3325</v>
      </c>
      <c r="E1735">
        <f t="shared" si="27"/>
        <v>0</v>
      </c>
    </row>
    <row r="1736" spans="1:5">
      <c r="A1736" s="1">
        <f>IF(C1736="","",COUNTA(C$4:C1736))</f>
        <v>1718</v>
      </c>
      <c r="B1736" s="1" t="s">
        <v>3326</v>
      </c>
      <c r="C1736" s="1" t="s">
        <v>3327</v>
      </c>
      <c r="E1736">
        <f t="shared" si="27"/>
        <v>0</v>
      </c>
    </row>
    <row r="1737" spans="1:5">
      <c r="A1737" s="1">
        <f>IF(C1737="","",COUNTA(C$4:C1737))</f>
        <v>1719</v>
      </c>
      <c r="B1737" s="1" t="s">
        <v>3328</v>
      </c>
      <c r="C1737" s="1" t="s">
        <v>3329</v>
      </c>
      <c r="E1737">
        <f t="shared" si="27"/>
        <v>0</v>
      </c>
    </row>
    <row r="1738" spans="1:5">
      <c r="A1738" s="1">
        <f>IF(C1738="","",COUNTA(C$4:C1738))</f>
        <v>1720</v>
      </c>
      <c r="B1738" s="1" t="s">
        <v>3330</v>
      </c>
      <c r="C1738" s="1" t="s">
        <v>3331</v>
      </c>
      <c r="E1738">
        <f t="shared" si="27"/>
        <v>0</v>
      </c>
    </row>
    <row r="1739" spans="1:5">
      <c r="A1739" s="1">
        <f>IF(C1739="","",COUNTA(C$4:C1739))</f>
        <v>1721</v>
      </c>
      <c r="B1739" s="1" t="s">
        <v>3332</v>
      </c>
      <c r="C1739" s="1" t="s">
        <v>3333</v>
      </c>
      <c r="E1739">
        <f t="shared" si="27"/>
        <v>0</v>
      </c>
    </row>
    <row r="1740" spans="1:5">
      <c r="A1740" s="1">
        <f>IF(C1740="","",COUNTA(C$4:C1740))</f>
        <v>1722</v>
      </c>
      <c r="B1740" s="1" t="s">
        <v>3334</v>
      </c>
      <c r="C1740" s="1" t="s">
        <v>3335</v>
      </c>
      <c r="E1740">
        <f t="shared" si="27"/>
        <v>0</v>
      </c>
    </row>
    <row r="1741" spans="1:5">
      <c r="A1741" s="1">
        <f>IF(C1741="","",COUNTA(C$4:C1741))</f>
        <v>1723</v>
      </c>
      <c r="B1741" s="1" t="s">
        <v>3336</v>
      </c>
      <c r="C1741" s="1" t="s">
        <v>3337</v>
      </c>
      <c r="E1741">
        <f t="shared" si="27"/>
        <v>0</v>
      </c>
    </row>
    <row r="1742" spans="1:5">
      <c r="A1742" s="1">
        <f>IF(C1742="","",COUNTA(C$4:C1742))</f>
        <v>1724</v>
      </c>
      <c r="B1742" s="1" t="s">
        <v>3338</v>
      </c>
      <c r="C1742" s="1" t="s">
        <v>3339</v>
      </c>
      <c r="E1742">
        <f t="shared" si="27"/>
        <v>0</v>
      </c>
    </row>
    <row r="1743" spans="1:5">
      <c r="A1743" s="1">
        <f>IF(C1743="","",COUNTA(C$4:C1743))</f>
        <v>1725</v>
      </c>
      <c r="B1743" s="1" t="s">
        <v>3340</v>
      </c>
      <c r="C1743" s="1" t="s">
        <v>3341</v>
      </c>
      <c r="E1743">
        <f t="shared" si="27"/>
        <v>0</v>
      </c>
    </row>
    <row r="1744" spans="1:5">
      <c r="A1744" s="1">
        <f>IF(C1744="","",COUNTA(C$4:C1744))</f>
        <v>1726</v>
      </c>
      <c r="B1744" s="1" t="s">
        <v>3342</v>
      </c>
      <c r="C1744" s="1" t="s">
        <v>3343</v>
      </c>
      <c r="E1744">
        <f t="shared" si="27"/>
        <v>0</v>
      </c>
    </row>
    <row r="1745" spans="1:5">
      <c r="A1745" s="1">
        <f>IF(C1745="","",COUNTA(C$4:C1745))</f>
        <v>1727</v>
      </c>
      <c r="B1745" s="1" t="s">
        <v>3344</v>
      </c>
      <c r="C1745" s="1" t="s">
        <v>3345</v>
      </c>
      <c r="E1745">
        <f t="shared" si="27"/>
        <v>0</v>
      </c>
    </row>
    <row r="1746" spans="1:5">
      <c r="A1746" s="1">
        <f>IF(C1746="","",COUNTA(C$4:C1746))</f>
        <v>1728</v>
      </c>
      <c r="B1746" s="1" t="s">
        <v>3346</v>
      </c>
      <c r="C1746" s="1" t="s">
        <v>3347</v>
      </c>
      <c r="E1746">
        <f t="shared" si="27"/>
        <v>0</v>
      </c>
    </row>
    <row r="1747" spans="1:5">
      <c r="A1747" s="1">
        <f>IF(C1747="","",COUNTA(C$4:C1747))</f>
        <v>1729</v>
      </c>
      <c r="B1747" s="1" t="s">
        <v>3348</v>
      </c>
      <c r="C1747" s="1" t="s">
        <v>3349</v>
      </c>
      <c r="E1747">
        <f t="shared" si="27"/>
        <v>0</v>
      </c>
    </row>
    <row r="1748" spans="1:5">
      <c r="A1748" s="1">
        <f>IF(C1748="","",COUNTA(C$4:C1748))</f>
        <v>1730</v>
      </c>
      <c r="B1748" s="1" t="s">
        <v>3350</v>
      </c>
      <c r="C1748" s="1" t="s">
        <v>3351</v>
      </c>
      <c r="E1748">
        <f t="shared" si="27"/>
        <v>0</v>
      </c>
    </row>
    <row r="1749" spans="1:5">
      <c r="A1749" s="1">
        <f>IF(C1749="","",COUNTA(C$4:C1749))</f>
        <v>1731</v>
      </c>
      <c r="B1749" s="1" t="s">
        <v>3352</v>
      </c>
      <c r="C1749" s="1" t="s">
        <v>3353</v>
      </c>
      <c r="E1749">
        <f t="shared" si="27"/>
        <v>0</v>
      </c>
    </row>
    <row r="1750" spans="1:5">
      <c r="A1750" s="1">
        <f>IF(C1750="","",COUNTA(C$4:C1750))</f>
        <v>1732</v>
      </c>
      <c r="B1750" s="1" t="s">
        <v>3354</v>
      </c>
      <c r="C1750" s="1" t="s">
        <v>3355</v>
      </c>
      <c r="E1750">
        <f t="shared" si="27"/>
        <v>0</v>
      </c>
    </row>
    <row r="1751" spans="1:5">
      <c r="A1751" s="1">
        <f>IF(C1751="","",COUNTA(C$4:C1751))</f>
        <v>1733</v>
      </c>
      <c r="B1751" s="1" t="s">
        <v>3356</v>
      </c>
      <c r="C1751" s="1" t="s">
        <v>3357</v>
      </c>
      <c r="E1751">
        <f t="shared" si="27"/>
        <v>0</v>
      </c>
    </row>
    <row r="1752" spans="1:5">
      <c r="A1752" s="1">
        <f>IF(C1752="","",COUNTA(C$4:C1752))</f>
        <v>1734</v>
      </c>
      <c r="B1752" s="1" t="s">
        <v>3358</v>
      </c>
      <c r="C1752" s="1" t="s">
        <v>3359</v>
      </c>
      <c r="E1752">
        <f t="shared" si="27"/>
        <v>0</v>
      </c>
    </row>
    <row r="1753" spans="1:5">
      <c r="A1753" s="1">
        <f>IF(C1753="","",COUNTA(C$4:C1753))</f>
        <v>1735</v>
      </c>
      <c r="B1753" s="1" t="s">
        <v>3360</v>
      </c>
      <c r="C1753" s="1" t="s">
        <v>3361</v>
      </c>
      <c r="E1753">
        <f t="shared" si="27"/>
        <v>0</v>
      </c>
    </row>
    <row r="1754" spans="1:5">
      <c r="A1754" s="1">
        <f>IF(C1754="","",COUNTA(C$4:C1754))</f>
        <v>1736</v>
      </c>
      <c r="B1754" s="1" t="s">
        <v>3362</v>
      </c>
      <c r="C1754" s="1" t="s">
        <v>3363</v>
      </c>
      <c r="E1754">
        <f t="shared" si="27"/>
        <v>0</v>
      </c>
    </row>
    <row r="1755" spans="1:5">
      <c r="A1755" s="1">
        <f>IF(C1755="","",COUNTA(C$4:C1755))</f>
        <v>1737</v>
      </c>
      <c r="B1755" s="1" t="s">
        <v>3364</v>
      </c>
      <c r="C1755" s="1" t="s">
        <v>3365</v>
      </c>
      <c r="E1755">
        <f t="shared" si="27"/>
        <v>0</v>
      </c>
    </row>
    <row r="1756" spans="1:5">
      <c r="A1756" s="1">
        <f>IF(C1756="","",COUNTA(C$4:C1756))</f>
        <v>1738</v>
      </c>
      <c r="B1756" s="1" t="s">
        <v>3366</v>
      </c>
      <c r="C1756" s="1" t="s">
        <v>3367</v>
      </c>
      <c r="E1756">
        <f t="shared" si="27"/>
        <v>0</v>
      </c>
    </row>
    <row r="1757" spans="1:5">
      <c r="A1757" s="1">
        <f>IF(C1757="","",COUNTA(C$4:C1757))</f>
        <v>1739</v>
      </c>
      <c r="B1757" s="1" t="s">
        <v>3368</v>
      </c>
      <c r="C1757" s="1" t="s">
        <v>3369</v>
      </c>
      <c r="E1757">
        <f t="shared" si="27"/>
        <v>0</v>
      </c>
    </row>
    <row r="1758" spans="1:5">
      <c r="A1758" s="1">
        <f>IF(C1758="","",COUNTA(C$4:C1758))</f>
        <v>1740</v>
      </c>
      <c r="B1758" s="1" t="s">
        <v>3370</v>
      </c>
      <c r="C1758" s="1" t="s">
        <v>3371</v>
      </c>
      <c r="E1758">
        <f t="shared" si="27"/>
        <v>0</v>
      </c>
    </row>
    <row r="1759" spans="1:5">
      <c r="A1759" s="1">
        <f>IF(C1759="","",COUNTA(C$4:C1759))</f>
        <v>1741</v>
      </c>
      <c r="B1759" s="1" t="s">
        <v>3372</v>
      </c>
      <c r="C1759" s="1" t="s">
        <v>3373</v>
      </c>
      <c r="E1759">
        <f t="shared" si="27"/>
        <v>0</v>
      </c>
    </row>
    <row r="1760" spans="1:5">
      <c r="A1760" s="1">
        <f>IF(C1760="","",COUNTA(C$4:C1760))</f>
        <v>1742</v>
      </c>
      <c r="B1760" s="1" t="s">
        <v>3372</v>
      </c>
      <c r="C1760" s="1" t="s">
        <v>3374</v>
      </c>
      <c r="E1760">
        <f t="shared" si="27"/>
        <v>0</v>
      </c>
    </row>
    <row r="1761" spans="1:5">
      <c r="A1761" s="1">
        <f>IF(C1761="","",COUNTA(C$4:C1761))</f>
        <v>1743</v>
      </c>
      <c r="B1761" s="1" t="s">
        <v>3375</v>
      </c>
      <c r="C1761" s="1" t="s">
        <v>3376</v>
      </c>
      <c r="E1761">
        <f t="shared" si="27"/>
        <v>0</v>
      </c>
    </row>
    <row r="1762" spans="1:5">
      <c r="A1762" s="1">
        <f>IF(C1762="","",COUNTA(C$4:C1762))</f>
        <v>1744</v>
      </c>
      <c r="B1762" s="1" t="s">
        <v>3377</v>
      </c>
      <c r="C1762" s="1" t="s">
        <v>3378</v>
      </c>
      <c r="E1762">
        <f t="shared" si="27"/>
        <v>0</v>
      </c>
    </row>
    <row r="1763" spans="1:5">
      <c r="A1763" s="1">
        <f>IF(C1763="","",COUNTA(C$4:C1763))</f>
        <v>1745</v>
      </c>
      <c r="B1763" s="1" t="s">
        <v>3379</v>
      </c>
      <c r="C1763" s="1" t="s">
        <v>3380</v>
      </c>
      <c r="E1763">
        <f t="shared" si="27"/>
        <v>0</v>
      </c>
    </row>
    <row r="1764" spans="1:5">
      <c r="A1764" s="1">
        <f>IF(C1764="","",COUNTA(C$4:C1764))</f>
        <v>1746</v>
      </c>
      <c r="B1764" s="1" t="s">
        <v>3381</v>
      </c>
      <c r="C1764" s="1" t="s">
        <v>3382</v>
      </c>
      <c r="E1764">
        <f t="shared" si="27"/>
        <v>0</v>
      </c>
    </row>
    <row r="1765" spans="1:5">
      <c r="A1765" s="1">
        <f>IF(C1765="","",COUNTA(C$4:C1765))</f>
        <v>1747</v>
      </c>
      <c r="B1765" s="1" t="s">
        <v>3383</v>
      </c>
      <c r="C1765" s="1" t="s">
        <v>3384</v>
      </c>
      <c r="E1765">
        <f t="shared" si="27"/>
        <v>0</v>
      </c>
    </row>
    <row r="1766" spans="1:5">
      <c r="A1766" s="1">
        <f>IF(C1766="","",COUNTA(C$4:C1766))</f>
        <v>1748</v>
      </c>
      <c r="B1766" s="1" t="s">
        <v>3385</v>
      </c>
      <c r="C1766" s="1" t="s">
        <v>3386</v>
      </c>
      <c r="E1766">
        <f t="shared" si="27"/>
        <v>0</v>
      </c>
    </row>
    <row r="1767" spans="1:5">
      <c r="A1767" s="1">
        <f>IF(C1767="","",COUNTA(C$4:C1767))</f>
        <v>1749</v>
      </c>
      <c r="B1767" s="1" t="s">
        <v>3387</v>
      </c>
      <c r="C1767" s="1" t="s">
        <v>3388</v>
      </c>
      <c r="E1767">
        <f t="shared" si="27"/>
        <v>0</v>
      </c>
    </row>
    <row r="1768" spans="1:5">
      <c r="A1768" s="1">
        <f>IF(C1768="","",COUNTA(C$4:C1768))</f>
        <v>1750</v>
      </c>
      <c r="B1768" s="1" t="s">
        <v>3389</v>
      </c>
      <c r="C1768" s="1" t="s">
        <v>3390</v>
      </c>
      <c r="E1768">
        <f t="shared" si="27"/>
        <v>0</v>
      </c>
    </row>
    <row r="1769" spans="1:5">
      <c r="A1769" s="1">
        <f>IF(C1769="","",COUNTA(C$4:C1769))</f>
        <v>1751</v>
      </c>
      <c r="B1769" s="1" t="s">
        <v>3130</v>
      </c>
      <c r="C1769" s="1" t="s">
        <v>3391</v>
      </c>
      <c r="E1769">
        <f t="shared" si="27"/>
        <v>0</v>
      </c>
    </row>
    <row r="1770" spans="1:5">
      <c r="A1770" s="1">
        <f>IF(C1770="","",COUNTA(C$4:C1770))</f>
        <v>1752</v>
      </c>
      <c r="B1770" s="1" t="s">
        <v>3392</v>
      </c>
      <c r="C1770" s="1" t="s">
        <v>3393</v>
      </c>
      <c r="E1770">
        <f t="shared" si="27"/>
        <v>0</v>
      </c>
    </row>
    <row r="1771" spans="1:5">
      <c r="A1771" s="1">
        <f>IF(C1771="","",COUNTA(C$4:C1771))</f>
        <v>1753</v>
      </c>
      <c r="B1771" s="1" t="s">
        <v>3394</v>
      </c>
      <c r="C1771" s="1" t="s">
        <v>3395</v>
      </c>
      <c r="E1771">
        <f t="shared" si="27"/>
        <v>0</v>
      </c>
    </row>
    <row r="1772" spans="1:5">
      <c r="A1772" s="1">
        <f>IF(C1772="","",COUNTA(C$4:C1772))</f>
        <v>1754</v>
      </c>
      <c r="B1772" s="1" t="s">
        <v>3396</v>
      </c>
      <c r="C1772" s="1" t="s">
        <v>3397</v>
      </c>
      <c r="E1772">
        <f t="shared" si="27"/>
        <v>0</v>
      </c>
    </row>
    <row r="1773" spans="1:5">
      <c r="A1773" s="1">
        <f>IF(C1773="","",COUNTA(C$4:C1773))</f>
        <v>1755</v>
      </c>
      <c r="B1773" s="1" t="s">
        <v>3398</v>
      </c>
      <c r="C1773" s="1" t="s">
        <v>3399</v>
      </c>
      <c r="E1773">
        <f t="shared" si="27"/>
        <v>0</v>
      </c>
    </row>
    <row r="1774" spans="1:5">
      <c r="A1774" s="1">
        <f>IF(C1774="","",COUNTA(C$4:C1774))</f>
        <v>1756</v>
      </c>
      <c r="B1774" s="1" t="s">
        <v>3400</v>
      </c>
      <c r="C1774" s="1" t="s">
        <v>3401</v>
      </c>
      <c r="E1774">
        <f t="shared" si="27"/>
        <v>0</v>
      </c>
    </row>
    <row r="1775" spans="1:5">
      <c r="A1775" s="1">
        <f>IF(C1775="","",COUNTA(C$4:C1775))</f>
        <v>1757</v>
      </c>
      <c r="B1775" s="1" t="s">
        <v>3402</v>
      </c>
      <c r="C1775" s="1" t="s">
        <v>3403</v>
      </c>
      <c r="E1775">
        <f t="shared" si="27"/>
        <v>0</v>
      </c>
    </row>
    <row r="1776" spans="1:5">
      <c r="A1776" s="1">
        <f>IF(C1776="","",COUNTA(C$4:C1776))</f>
        <v>1758</v>
      </c>
      <c r="B1776" s="1" t="s">
        <v>3404</v>
      </c>
      <c r="C1776" s="1" t="s">
        <v>3405</v>
      </c>
      <c r="E1776">
        <f t="shared" si="27"/>
        <v>0</v>
      </c>
    </row>
    <row r="1777" spans="1:5">
      <c r="A1777" s="1">
        <f>IF(C1777="","",COUNTA(C$4:C1777))</f>
        <v>1759</v>
      </c>
      <c r="B1777" s="1" t="s">
        <v>3406</v>
      </c>
      <c r="C1777" s="1" t="s">
        <v>3407</v>
      </c>
      <c r="E1777">
        <f t="shared" si="27"/>
        <v>0</v>
      </c>
    </row>
    <row r="1778" spans="1:5">
      <c r="A1778" s="1">
        <f>IF(C1778="","",COUNTA(C$4:C1778))</f>
        <v>1760</v>
      </c>
      <c r="B1778" s="1" t="s">
        <v>3408</v>
      </c>
      <c r="C1778" s="1" t="s">
        <v>3409</v>
      </c>
      <c r="E1778">
        <f t="shared" si="27"/>
        <v>0</v>
      </c>
    </row>
    <row r="1779" spans="1:5">
      <c r="A1779" s="1">
        <f>IF(C1779="","",COUNTA(C$4:C1779))</f>
        <v>1761</v>
      </c>
      <c r="B1779" s="1" t="s">
        <v>3410</v>
      </c>
      <c r="C1779" s="1" t="s">
        <v>3411</v>
      </c>
      <c r="E1779">
        <f t="shared" si="27"/>
        <v>0</v>
      </c>
    </row>
    <row r="1780" spans="1:5">
      <c r="A1780" s="1">
        <f>IF(C1780="","",COUNTA(C$4:C1780))</f>
        <v>1762</v>
      </c>
      <c r="B1780" s="1" t="s">
        <v>3412</v>
      </c>
      <c r="C1780" s="1" t="s">
        <v>3413</v>
      </c>
      <c r="E1780">
        <f t="shared" si="27"/>
        <v>0</v>
      </c>
    </row>
    <row r="1781" spans="1:5">
      <c r="A1781" s="1">
        <f>IF(C1781="","",COUNTA(C$4:C1781))</f>
        <v>1763</v>
      </c>
      <c r="B1781" s="1" t="s">
        <v>3414</v>
      </c>
      <c r="C1781" s="1" t="s">
        <v>3415</v>
      </c>
      <c r="E1781">
        <f t="shared" si="27"/>
        <v>0</v>
      </c>
    </row>
    <row r="1782" spans="1:5">
      <c r="A1782" s="1">
        <f>IF(C1782="","",COUNTA(C$4:C1782))</f>
        <v>1764</v>
      </c>
      <c r="B1782" s="1" t="s">
        <v>3416</v>
      </c>
      <c r="C1782" s="1" t="s">
        <v>3417</v>
      </c>
      <c r="E1782">
        <f t="shared" si="27"/>
        <v>0</v>
      </c>
    </row>
    <row r="1783" spans="1:5">
      <c r="A1783" s="1">
        <f>IF(C1783="","",COUNTA(C$4:C1783))</f>
        <v>1765</v>
      </c>
      <c r="B1783" s="1" t="s">
        <v>3418</v>
      </c>
      <c r="C1783" s="1" t="s">
        <v>3419</v>
      </c>
      <c r="E1783">
        <f t="shared" si="27"/>
        <v>0</v>
      </c>
    </row>
    <row r="1784" spans="1:5">
      <c r="A1784" s="1">
        <f>IF(C1784="","",COUNTA(C$4:C1784))</f>
        <v>1766</v>
      </c>
      <c r="B1784" s="1" t="s">
        <v>3420</v>
      </c>
      <c r="C1784" s="1" t="s">
        <v>3421</v>
      </c>
      <c r="E1784">
        <f t="shared" si="27"/>
        <v>0</v>
      </c>
    </row>
    <row r="1785" spans="1:5">
      <c r="A1785" s="1">
        <f>IF(C1785="","",COUNTA(C$4:C1785))</f>
        <v>1767</v>
      </c>
      <c r="B1785" s="1" t="s">
        <v>3422</v>
      </c>
      <c r="C1785" s="1" t="s">
        <v>3423</v>
      </c>
      <c r="E1785">
        <f t="shared" si="27"/>
        <v>0</v>
      </c>
    </row>
    <row r="1786" spans="1:5">
      <c r="A1786" s="1">
        <f>IF(C1786="","",COUNTA(C$4:C1786))</f>
        <v>1768</v>
      </c>
      <c r="B1786" s="1" t="s">
        <v>3424</v>
      </c>
      <c r="C1786" s="1" t="s">
        <v>3425</v>
      </c>
      <c r="E1786">
        <f t="shared" si="27"/>
        <v>0</v>
      </c>
    </row>
    <row r="1787" spans="1:5">
      <c r="A1787" s="1">
        <f>IF(C1787="","",COUNTA(C$4:C1787))</f>
        <v>1769</v>
      </c>
      <c r="B1787" s="1" t="s">
        <v>3426</v>
      </c>
      <c r="C1787" s="1" t="s">
        <v>3427</v>
      </c>
      <c r="E1787">
        <f t="shared" si="27"/>
        <v>0</v>
      </c>
    </row>
    <row r="1788" spans="1:5">
      <c r="A1788" s="1">
        <f>IF(C1788="","",COUNTA(C$4:C1788))</f>
        <v>1770</v>
      </c>
      <c r="B1788" s="1" t="s">
        <v>3428</v>
      </c>
      <c r="C1788" s="1" t="s">
        <v>3429</v>
      </c>
      <c r="E1788">
        <f t="shared" si="27"/>
        <v>0</v>
      </c>
    </row>
    <row r="1789" spans="1:5">
      <c r="A1789" s="1">
        <f>IF(C1789="","",COUNTA(C$4:C1789))</f>
        <v>1771</v>
      </c>
      <c r="B1789" s="1" t="s">
        <v>3430</v>
      </c>
      <c r="C1789" s="1" t="s">
        <v>3431</v>
      </c>
      <c r="E1789">
        <f t="shared" si="27"/>
        <v>0</v>
      </c>
    </row>
    <row r="1790" spans="1:5">
      <c r="A1790" s="1">
        <f>IF(C1790="","",COUNTA(C$4:C1790))</f>
        <v>1772</v>
      </c>
      <c r="B1790" s="1" t="s">
        <v>3432</v>
      </c>
      <c r="C1790" s="1" t="s">
        <v>3433</v>
      </c>
      <c r="E1790">
        <f t="shared" si="27"/>
        <v>0</v>
      </c>
    </row>
    <row r="1791" spans="1:5">
      <c r="A1791" s="1">
        <f>IF(C1791="","",COUNTA(C$4:C1791))</f>
        <v>1773</v>
      </c>
      <c r="B1791" s="1" t="s">
        <v>3434</v>
      </c>
      <c r="C1791" s="1" t="s">
        <v>3435</v>
      </c>
      <c r="E1791">
        <f t="shared" si="27"/>
        <v>0</v>
      </c>
    </row>
    <row r="1792" spans="1:5">
      <c r="A1792" s="1">
        <f>IF(C1792="","",COUNTA(C$4:C1792))</f>
        <v>1774</v>
      </c>
      <c r="B1792" s="1" t="s">
        <v>3436</v>
      </c>
      <c r="C1792" s="1" t="s">
        <v>3437</v>
      </c>
      <c r="E1792">
        <f t="shared" si="27"/>
        <v>0</v>
      </c>
    </row>
    <row r="1793" spans="1:5">
      <c r="A1793" s="1">
        <f>IF(C1793="","",COUNTA(C$4:C1793))</f>
        <v>1775</v>
      </c>
      <c r="B1793" s="1" t="s">
        <v>3438</v>
      </c>
      <c r="C1793" s="1" t="s">
        <v>3439</v>
      </c>
      <c r="E1793">
        <f t="shared" si="27"/>
        <v>0</v>
      </c>
    </row>
    <row r="1794" spans="1:5">
      <c r="A1794" s="1">
        <f>IF(C1794="","",COUNTA(C$4:C1794))</f>
        <v>1776</v>
      </c>
      <c r="B1794" s="1" t="s">
        <v>3440</v>
      </c>
      <c r="C1794" s="1" t="s">
        <v>3441</v>
      </c>
      <c r="E1794">
        <f t="shared" si="27"/>
        <v>0</v>
      </c>
    </row>
    <row r="1795" spans="1:5">
      <c r="A1795" s="1">
        <f>IF(C1795="","",COUNTA(C$4:C1795))</f>
        <v>1777</v>
      </c>
      <c r="B1795" s="1" t="s">
        <v>3442</v>
      </c>
      <c r="C1795" s="1" t="s">
        <v>3443</v>
      </c>
      <c r="E1795">
        <f t="shared" si="27"/>
        <v>0</v>
      </c>
    </row>
    <row r="1796" spans="1:5">
      <c r="A1796" s="1">
        <f>IF(C1796="","",COUNTA(C$4:C1796))</f>
        <v>1778</v>
      </c>
      <c r="B1796" s="1" t="s">
        <v>3444</v>
      </c>
      <c r="C1796" s="1" t="s">
        <v>3445</v>
      </c>
      <c r="E1796">
        <f t="shared" si="27"/>
        <v>0</v>
      </c>
    </row>
    <row r="1797" spans="1:5">
      <c r="A1797" s="1">
        <f>IF(C1797="","",COUNTA(C$4:C1797))</f>
        <v>1779</v>
      </c>
      <c r="B1797" s="1" t="s">
        <v>3446</v>
      </c>
      <c r="C1797" s="1" t="s">
        <v>3447</v>
      </c>
      <c r="E1797">
        <f t="shared" ref="E1797:E1860" si="28">IF(C1797=D1797,1,0)</f>
        <v>0</v>
      </c>
    </row>
    <row r="1798" spans="1:5">
      <c r="A1798" s="1">
        <f>IF(C1798="","",COUNTA(C$4:C1798))</f>
        <v>1780</v>
      </c>
      <c r="B1798" s="1" t="s">
        <v>3448</v>
      </c>
      <c r="C1798" s="1" t="s">
        <v>3449</v>
      </c>
      <c r="E1798">
        <f t="shared" si="28"/>
        <v>0</v>
      </c>
    </row>
    <row r="1799" spans="1:5">
      <c r="A1799" s="1">
        <f>IF(C1799="","",COUNTA(C$4:C1799))</f>
        <v>1781</v>
      </c>
      <c r="B1799" s="1" t="s">
        <v>3450</v>
      </c>
      <c r="C1799" s="1" t="s">
        <v>3451</v>
      </c>
      <c r="E1799">
        <f t="shared" si="28"/>
        <v>0</v>
      </c>
    </row>
    <row r="1800" spans="1:5">
      <c r="A1800" s="1">
        <f>IF(C1800="","",COUNTA(C$4:C1800))</f>
        <v>1782</v>
      </c>
      <c r="B1800" s="1" t="s">
        <v>3452</v>
      </c>
      <c r="C1800" s="1" t="s">
        <v>3453</v>
      </c>
      <c r="E1800">
        <f t="shared" si="28"/>
        <v>0</v>
      </c>
    </row>
    <row r="1801" spans="1:5">
      <c r="A1801" s="1">
        <f>IF(C1801="","",COUNTA(C$4:C1801))</f>
        <v>1783</v>
      </c>
      <c r="B1801" s="1" t="s">
        <v>3454</v>
      </c>
      <c r="C1801" s="1" t="s">
        <v>3455</v>
      </c>
      <c r="E1801">
        <f t="shared" si="28"/>
        <v>0</v>
      </c>
    </row>
    <row r="1802" spans="1:5">
      <c r="A1802" s="1">
        <f>IF(C1802="","",COUNTA(C$4:C1802))</f>
        <v>1784</v>
      </c>
      <c r="B1802" s="1" t="s">
        <v>3456</v>
      </c>
      <c r="C1802" s="1" t="s">
        <v>3457</v>
      </c>
      <c r="E1802">
        <f t="shared" si="28"/>
        <v>0</v>
      </c>
    </row>
    <row r="1803" spans="1:5">
      <c r="A1803" s="1">
        <f>IF(C1803="","",COUNTA(C$4:C1803))</f>
        <v>1785</v>
      </c>
      <c r="B1803" s="1" t="s">
        <v>3458</v>
      </c>
      <c r="C1803" s="1" t="s">
        <v>3459</v>
      </c>
      <c r="E1803">
        <f t="shared" si="28"/>
        <v>0</v>
      </c>
    </row>
    <row r="1804" spans="1:5">
      <c r="A1804" s="1">
        <f>IF(C1804="","",COUNTA(C$4:C1804))</f>
        <v>1786</v>
      </c>
      <c r="B1804" s="1" t="s">
        <v>3460</v>
      </c>
      <c r="C1804" s="1" t="s">
        <v>3461</v>
      </c>
      <c r="E1804">
        <f t="shared" si="28"/>
        <v>0</v>
      </c>
    </row>
    <row r="1805" spans="1:5">
      <c r="A1805" s="1">
        <f>IF(C1805="","",COUNTA(C$4:C1805))</f>
        <v>1787</v>
      </c>
      <c r="B1805" s="1" t="s">
        <v>3462</v>
      </c>
      <c r="C1805" s="1" t="s">
        <v>3463</v>
      </c>
      <c r="E1805">
        <f t="shared" si="28"/>
        <v>0</v>
      </c>
    </row>
    <row r="1806" spans="1:5">
      <c r="A1806" s="1">
        <f>IF(C1806="","",COUNTA(C$4:C1806))</f>
        <v>1788</v>
      </c>
      <c r="B1806" s="1" t="s">
        <v>3464</v>
      </c>
      <c r="C1806" s="1" t="s">
        <v>3465</v>
      </c>
      <c r="E1806">
        <f t="shared" si="28"/>
        <v>0</v>
      </c>
    </row>
    <row r="1807" spans="1:5">
      <c r="A1807" s="1">
        <f>IF(C1807="","",COUNTA(C$4:C1807))</f>
        <v>1789</v>
      </c>
      <c r="B1807" s="1" t="s">
        <v>3466</v>
      </c>
      <c r="C1807" s="1" t="s">
        <v>3467</v>
      </c>
      <c r="E1807">
        <f t="shared" si="28"/>
        <v>0</v>
      </c>
    </row>
    <row r="1808" spans="1:5">
      <c r="A1808" s="1">
        <f>IF(C1808="","",COUNTA(C$4:C1808))</f>
        <v>1790</v>
      </c>
      <c r="B1808" s="1" t="s">
        <v>3468</v>
      </c>
      <c r="C1808" s="1" t="s">
        <v>3469</v>
      </c>
      <c r="E1808">
        <f t="shared" si="28"/>
        <v>0</v>
      </c>
    </row>
    <row r="1809" spans="1:5">
      <c r="A1809" s="1">
        <f>IF(C1809="","",COUNTA(C$4:C1809))</f>
        <v>1791</v>
      </c>
      <c r="B1809" s="1" t="s">
        <v>3470</v>
      </c>
      <c r="C1809" s="1" t="s">
        <v>3471</v>
      </c>
      <c r="E1809">
        <f t="shared" si="28"/>
        <v>0</v>
      </c>
    </row>
    <row r="1810" spans="1:5">
      <c r="A1810" s="1">
        <f>IF(C1810="","",COUNTA(C$4:C1810))</f>
        <v>1792</v>
      </c>
      <c r="B1810" s="1" t="s">
        <v>3472</v>
      </c>
      <c r="C1810" s="1" t="s">
        <v>3473</v>
      </c>
      <c r="E1810">
        <f t="shared" si="28"/>
        <v>0</v>
      </c>
    </row>
    <row r="1811" spans="1:5">
      <c r="A1811" s="1">
        <f>IF(C1811="","",COUNTA(C$4:C1811))</f>
        <v>1793</v>
      </c>
      <c r="B1811" s="1" t="s">
        <v>3474</v>
      </c>
      <c r="C1811" s="1" t="s">
        <v>3475</v>
      </c>
      <c r="E1811">
        <f t="shared" si="28"/>
        <v>0</v>
      </c>
    </row>
    <row r="1812" spans="1:5">
      <c r="A1812" s="1">
        <f>IF(C1812="","",COUNTA(C$4:C1812))</f>
        <v>1794</v>
      </c>
      <c r="B1812" s="1" t="s">
        <v>3476</v>
      </c>
      <c r="C1812" s="1" t="s">
        <v>3477</v>
      </c>
      <c r="E1812">
        <f t="shared" si="28"/>
        <v>0</v>
      </c>
    </row>
    <row r="1813" spans="1:5">
      <c r="A1813" s="1">
        <f>IF(C1813="","",COUNTA(C$4:C1813))</f>
        <v>1795</v>
      </c>
      <c r="B1813" s="1" t="s">
        <v>3476</v>
      </c>
      <c r="C1813" s="1" t="s">
        <v>3478</v>
      </c>
      <c r="E1813">
        <f t="shared" si="28"/>
        <v>0</v>
      </c>
    </row>
    <row r="1814" spans="1:5">
      <c r="A1814" s="1">
        <f>IF(C1814="","",COUNTA(C$4:C1814))</f>
        <v>1796</v>
      </c>
      <c r="B1814" s="1" t="s">
        <v>3479</v>
      </c>
      <c r="C1814" s="1" t="s">
        <v>3480</v>
      </c>
      <c r="E1814">
        <f t="shared" si="28"/>
        <v>0</v>
      </c>
    </row>
    <row r="1815" spans="1:5">
      <c r="A1815" s="1">
        <f>IF(C1815="","",COUNTA(C$4:C1815))</f>
        <v>1797</v>
      </c>
      <c r="B1815" s="1" t="s">
        <v>3481</v>
      </c>
      <c r="C1815" s="1" t="s">
        <v>3482</v>
      </c>
      <c r="E1815">
        <f t="shared" si="28"/>
        <v>0</v>
      </c>
    </row>
    <row r="1816" spans="1:5">
      <c r="A1816" s="1">
        <f>IF(C1816="","",COUNTA(C$4:C1816))</f>
        <v>1798</v>
      </c>
      <c r="B1816" s="1" t="s">
        <v>3483</v>
      </c>
      <c r="C1816" s="1" t="s">
        <v>3484</v>
      </c>
      <c r="E1816">
        <f t="shared" si="28"/>
        <v>0</v>
      </c>
    </row>
    <row r="1817" spans="1:5">
      <c r="A1817" s="1">
        <f>IF(C1817="","",COUNTA(C$4:C1817))</f>
        <v>1799</v>
      </c>
      <c r="B1817" s="1" t="s">
        <v>3485</v>
      </c>
      <c r="C1817" s="3" t="s">
        <v>3486</v>
      </c>
      <c r="E1817">
        <f t="shared" si="28"/>
        <v>0</v>
      </c>
    </row>
    <row r="1818" spans="1:5">
      <c r="A1818" s="1">
        <f>IF(C1818="","",COUNTA(C$4:C1818))</f>
        <v>1800</v>
      </c>
      <c r="B1818" s="1" t="s">
        <v>3487</v>
      </c>
      <c r="C1818" s="1" t="s">
        <v>3488</v>
      </c>
      <c r="E1818">
        <f t="shared" si="28"/>
        <v>0</v>
      </c>
    </row>
    <row r="1819" spans="1:5">
      <c r="A1819" s="1">
        <f>IF(C1819="","",COUNTA(C$4:C1819))</f>
        <v>1801</v>
      </c>
      <c r="B1819" s="1" t="s">
        <v>3489</v>
      </c>
      <c r="C1819" s="1" t="s">
        <v>3490</v>
      </c>
      <c r="E1819">
        <f t="shared" si="28"/>
        <v>0</v>
      </c>
    </row>
    <row r="1820" spans="1:5">
      <c r="A1820" s="1">
        <f>IF(C1820="","",COUNTA(C$4:C1820))</f>
        <v>1802</v>
      </c>
      <c r="B1820" s="1" t="s">
        <v>3491</v>
      </c>
      <c r="C1820" s="1" t="s">
        <v>3492</v>
      </c>
      <c r="E1820">
        <f t="shared" si="28"/>
        <v>0</v>
      </c>
    </row>
    <row r="1821" spans="1:5">
      <c r="A1821" s="1">
        <f>IF(C1821="","",COUNTA(C$4:C1821))</f>
        <v>1803</v>
      </c>
      <c r="B1821" s="1" t="s">
        <v>3493</v>
      </c>
      <c r="C1821" s="1" t="s">
        <v>3494</v>
      </c>
      <c r="E1821">
        <f t="shared" si="28"/>
        <v>0</v>
      </c>
    </row>
    <row r="1822" spans="1:5">
      <c r="A1822" s="1">
        <f>IF(C1822="","",COUNTA(C$4:C1822))</f>
        <v>1804</v>
      </c>
      <c r="B1822" s="1" t="s">
        <v>3495</v>
      </c>
      <c r="C1822" s="1" t="s">
        <v>3496</v>
      </c>
      <c r="E1822">
        <f t="shared" si="28"/>
        <v>0</v>
      </c>
    </row>
    <row r="1823" spans="1:5">
      <c r="A1823" s="1">
        <f>IF(C1823="","",COUNTA(C$4:C1823))</f>
        <v>1805</v>
      </c>
      <c r="B1823" s="1" t="s">
        <v>3497</v>
      </c>
      <c r="C1823" s="1" t="s">
        <v>3498</v>
      </c>
      <c r="E1823">
        <f t="shared" si="28"/>
        <v>0</v>
      </c>
    </row>
    <row r="1824" spans="1:5">
      <c r="A1824" s="1">
        <f>IF(C1824="","",COUNTA(C$4:C1824))</f>
        <v>1806</v>
      </c>
      <c r="B1824" s="1" t="s">
        <v>3499</v>
      </c>
      <c r="C1824" s="1" t="s">
        <v>3500</v>
      </c>
      <c r="E1824">
        <f t="shared" si="28"/>
        <v>0</v>
      </c>
    </row>
    <row r="1825" spans="1:5">
      <c r="A1825" s="1">
        <f>IF(C1825="","",COUNTA(C$4:C1825))</f>
        <v>1807</v>
      </c>
      <c r="B1825" s="1" t="s">
        <v>3501</v>
      </c>
      <c r="C1825" s="1" t="s">
        <v>3502</v>
      </c>
      <c r="E1825">
        <f t="shared" si="28"/>
        <v>0</v>
      </c>
    </row>
    <row r="1826" spans="1:5">
      <c r="A1826" s="1">
        <f>IF(C1826="","",COUNTA(C$4:C1826))</f>
        <v>1808</v>
      </c>
      <c r="B1826" s="1" t="s">
        <v>3503</v>
      </c>
      <c r="C1826" s="1" t="s">
        <v>3504</v>
      </c>
      <c r="E1826">
        <f t="shared" si="28"/>
        <v>0</v>
      </c>
    </row>
    <row r="1827" spans="1:5">
      <c r="A1827" s="1">
        <f>IF(C1827="","",COUNTA(C$4:C1827))</f>
        <v>1809</v>
      </c>
      <c r="B1827" s="1" t="s">
        <v>3505</v>
      </c>
      <c r="C1827" s="1" t="s">
        <v>3506</v>
      </c>
      <c r="E1827">
        <f t="shared" si="28"/>
        <v>0</v>
      </c>
    </row>
    <row r="1828" spans="1:5">
      <c r="A1828" s="1">
        <f>IF(C1828="","",COUNTA(C$4:C1828))</f>
        <v>1810</v>
      </c>
      <c r="B1828" s="1" t="s">
        <v>3507</v>
      </c>
      <c r="C1828" s="1" t="s">
        <v>3508</v>
      </c>
      <c r="E1828">
        <f t="shared" si="28"/>
        <v>0</v>
      </c>
    </row>
    <row r="1829" spans="1:5">
      <c r="A1829" s="1">
        <f>IF(C1829="","",COUNTA(C$4:C1829))</f>
        <v>1811</v>
      </c>
      <c r="B1829" s="1" t="s">
        <v>3509</v>
      </c>
      <c r="C1829" s="1" t="s">
        <v>3510</v>
      </c>
      <c r="E1829">
        <f t="shared" si="28"/>
        <v>0</v>
      </c>
    </row>
    <row r="1830" spans="1:5">
      <c r="A1830" s="1">
        <f>IF(C1830="","",COUNTA(C$4:C1830))</f>
        <v>1812</v>
      </c>
      <c r="B1830" s="1" t="s">
        <v>3511</v>
      </c>
      <c r="C1830" s="1" t="s">
        <v>3512</v>
      </c>
      <c r="E1830">
        <f t="shared" si="28"/>
        <v>0</v>
      </c>
    </row>
    <row r="1831" spans="1:5">
      <c r="A1831" s="1">
        <f>IF(C1831="","",COUNTA(C$4:C1831))</f>
        <v>1813</v>
      </c>
      <c r="B1831" s="1" t="s">
        <v>3511</v>
      </c>
      <c r="C1831" s="1" t="s">
        <v>3513</v>
      </c>
      <c r="E1831">
        <f t="shared" si="28"/>
        <v>0</v>
      </c>
    </row>
    <row r="1832" spans="1:5">
      <c r="A1832" s="1">
        <f>IF(C1832="","",COUNTA(C$4:C1832))</f>
        <v>1814</v>
      </c>
      <c r="B1832" s="1" t="s">
        <v>3514</v>
      </c>
      <c r="C1832" s="1" t="s">
        <v>3515</v>
      </c>
      <c r="E1832">
        <f t="shared" si="28"/>
        <v>0</v>
      </c>
    </row>
    <row r="1833" spans="1:5">
      <c r="A1833" s="1">
        <f>IF(C1833="","",COUNTA(C$4:C1833))</f>
        <v>1815</v>
      </c>
      <c r="B1833" s="1" t="s">
        <v>3516</v>
      </c>
      <c r="C1833" s="1" t="s">
        <v>3517</v>
      </c>
      <c r="E1833">
        <f t="shared" si="28"/>
        <v>0</v>
      </c>
    </row>
    <row r="1834" spans="1:5">
      <c r="A1834" s="1">
        <f>IF(C1834="","",COUNTA(C$4:C1834))</f>
        <v>1816</v>
      </c>
      <c r="B1834" s="1" t="s">
        <v>3518</v>
      </c>
      <c r="C1834" s="1" t="s">
        <v>3519</v>
      </c>
      <c r="E1834">
        <f t="shared" si="28"/>
        <v>0</v>
      </c>
    </row>
    <row r="1835" spans="1:5">
      <c r="A1835" s="1">
        <f>IF(C1835="","",COUNTA(C$4:C1835))</f>
        <v>1817</v>
      </c>
      <c r="B1835" s="1" t="s">
        <v>3520</v>
      </c>
      <c r="C1835" s="1" t="s">
        <v>3521</v>
      </c>
      <c r="E1835">
        <f t="shared" si="28"/>
        <v>0</v>
      </c>
    </row>
    <row r="1836" spans="1:5">
      <c r="A1836" s="1">
        <f>IF(C1836="","",COUNTA(C$4:C1836))</f>
        <v>1818</v>
      </c>
      <c r="B1836" s="1" t="s">
        <v>3522</v>
      </c>
      <c r="C1836" s="1" t="s">
        <v>3523</v>
      </c>
      <c r="E1836">
        <f t="shared" si="28"/>
        <v>0</v>
      </c>
    </row>
    <row r="1837" spans="1:5">
      <c r="A1837" s="1">
        <f>IF(C1837="","",COUNTA(C$4:C1837))</f>
        <v>1819</v>
      </c>
      <c r="B1837" s="1" t="s">
        <v>3524</v>
      </c>
      <c r="C1837" s="1" t="s">
        <v>3525</v>
      </c>
      <c r="E1837">
        <f t="shared" si="28"/>
        <v>0</v>
      </c>
    </row>
    <row r="1838" spans="1:5">
      <c r="A1838" s="1">
        <f>IF(C1838="","",COUNTA(C$4:C1838))</f>
        <v>1820</v>
      </c>
      <c r="B1838" s="1" t="s">
        <v>3526</v>
      </c>
      <c r="C1838" s="1" t="s">
        <v>3527</v>
      </c>
      <c r="E1838">
        <f t="shared" si="28"/>
        <v>0</v>
      </c>
    </row>
    <row r="1839" spans="1:5">
      <c r="A1839" s="12" t="s">
        <v>3528</v>
      </c>
      <c r="B1839" s="13"/>
      <c r="C1839" s="14"/>
      <c r="D1839" s="9"/>
      <c r="E1839">
        <f t="shared" si="28"/>
        <v>1</v>
      </c>
    </row>
    <row r="1840" spans="1:5">
      <c r="A1840" s="1">
        <f>IF(C1840="","",COUNTA(C$4:C1840))</f>
        <v>1821</v>
      </c>
      <c r="B1840" s="1" t="s">
        <v>3529</v>
      </c>
      <c r="C1840" s="3" t="s">
        <v>3530</v>
      </c>
      <c r="E1840">
        <f t="shared" si="28"/>
        <v>0</v>
      </c>
    </row>
    <row r="1841" spans="1:5">
      <c r="A1841" s="1">
        <f>IF(C1841="","",COUNTA(C$4:C1841))</f>
        <v>1822</v>
      </c>
      <c r="B1841" s="1" t="s">
        <v>3531</v>
      </c>
      <c r="C1841" s="1" t="s">
        <v>3532</v>
      </c>
      <c r="E1841">
        <f t="shared" si="28"/>
        <v>0</v>
      </c>
    </row>
    <row r="1842" spans="1:5">
      <c r="A1842" s="1">
        <f>IF(C1842="","",COUNTA(C$4:C1842))</f>
        <v>1823</v>
      </c>
      <c r="B1842" s="1" t="s">
        <v>3533</v>
      </c>
      <c r="C1842" s="1" t="s">
        <v>3534</v>
      </c>
      <c r="E1842">
        <f t="shared" si="28"/>
        <v>0</v>
      </c>
    </row>
    <row r="1843" spans="1:5">
      <c r="A1843" s="1">
        <f>IF(C1843="","",COUNTA(C$4:C1843))</f>
        <v>1824</v>
      </c>
      <c r="B1843" s="1" t="s">
        <v>3535</v>
      </c>
      <c r="C1843" s="1" t="s">
        <v>3536</v>
      </c>
      <c r="E1843">
        <f t="shared" si="28"/>
        <v>0</v>
      </c>
    </row>
    <row r="1844" spans="1:5">
      <c r="A1844" s="1">
        <f>IF(C1844="","",COUNTA(C$4:C1844))</f>
        <v>1825</v>
      </c>
      <c r="B1844" s="1" t="s">
        <v>3537</v>
      </c>
      <c r="C1844" s="1" t="s">
        <v>3538</v>
      </c>
      <c r="E1844">
        <f t="shared" si="28"/>
        <v>0</v>
      </c>
    </row>
    <row r="1845" spans="1:5">
      <c r="A1845" s="1">
        <f>IF(C1845="","",COUNTA(C$4:C1845))</f>
        <v>1826</v>
      </c>
      <c r="B1845" s="1" t="s">
        <v>3539</v>
      </c>
      <c r="C1845" s="1" t="s">
        <v>3540</v>
      </c>
      <c r="E1845">
        <f t="shared" si="28"/>
        <v>0</v>
      </c>
    </row>
    <row r="1846" spans="1:5">
      <c r="A1846" s="1">
        <f>IF(C1846="","",COUNTA(C$4:C1846))</f>
        <v>1827</v>
      </c>
      <c r="B1846" s="1" t="s">
        <v>3154</v>
      </c>
      <c r="C1846" s="1" t="s">
        <v>3541</v>
      </c>
      <c r="E1846">
        <f t="shared" si="28"/>
        <v>0</v>
      </c>
    </row>
    <row r="1847" spans="1:5">
      <c r="A1847" s="1">
        <f>IF(C1847="","",COUNTA(C$4:C1847))</f>
        <v>1828</v>
      </c>
      <c r="B1847" s="1" t="s">
        <v>3542</v>
      </c>
      <c r="C1847" s="1" t="s">
        <v>3543</v>
      </c>
      <c r="E1847">
        <f t="shared" si="28"/>
        <v>0</v>
      </c>
    </row>
    <row r="1848" spans="1:5">
      <c r="A1848" s="1">
        <f>IF(C1848="","",COUNTA(C$4:C1848))</f>
        <v>1829</v>
      </c>
      <c r="B1848" s="1" t="s">
        <v>3544</v>
      </c>
      <c r="C1848" s="1" t="s">
        <v>3545</v>
      </c>
      <c r="E1848">
        <f t="shared" si="28"/>
        <v>0</v>
      </c>
    </row>
    <row r="1849" spans="1:5">
      <c r="A1849" s="1">
        <f>IF(C1849="","",COUNTA(C$4:C1849))</f>
        <v>1830</v>
      </c>
      <c r="B1849" s="1" t="s">
        <v>3546</v>
      </c>
      <c r="C1849" s="3" t="s">
        <v>3547</v>
      </c>
      <c r="E1849">
        <f t="shared" si="28"/>
        <v>0</v>
      </c>
    </row>
    <row r="1850" spans="1:5">
      <c r="A1850" s="1">
        <f>IF(C1850="","",COUNTA(C$4:C1850))</f>
        <v>1831</v>
      </c>
      <c r="B1850" s="1" t="s">
        <v>3548</v>
      </c>
      <c r="C1850" s="1" t="s">
        <v>3549</v>
      </c>
      <c r="E1850">
        <f t="shared" si="28"/>
        <v>0</v>
      </c>
    </row>
    <row r="1851" spans="1:5">
      <c r="A1851" s="1">
        <f>IF(C1851="","",COUNTA(C$4:C1851))</f>
        <v>1832</v>
      </c>
      <c r="B1851" s="1" t="s">
        <v>3550</v>
      </c>
      <c r="C1851" s="1" t="s">
        <v>3551</v>
      </c>
      <c r="E1851">
        <f t="shared" si="28"/>
        <v>0</v>
      </c>
    </row>
    <row r="1852" spans="1:5">
      <c r="A1852" s="1">
        <f>IF(C1852="","",COUNTA(C$4:C1852))</f>
        <v>1833</v>
      </c>
      <c r="B1852" s="1" t="s">
        <v>3552</v>
      </c>
      <c r="C1852" s="1" t="s">
        <v>3553</v>
      </c>
      <c r="E1852">
        <f t="shared" si="28"/>
        <v>0</v>
      </c>
    </row>
    <row r="1853" spans="1:5">
      <c r="A1853" s="1">
        <f>IF(C1853="","",COUNTA(C$4:C1853))</f>
        <v>1834</v>
      </c>
      <c r="B1853" s="1" t="s">
        <v>3554</v>
      </c>
      <c r="C1853" s="1" t="s">
        <v>3555</v>
      </c>
      <c r="E1853">
        <f t="shared" si="28"/>
        <v>0</v>
      </c>
    </row>
    <row r="1854" spans="1:5">
      <c r="A1854" s="1">
        <f>IF(C1854="","",COUNTA(C$4:C1854))</f>
        <v>1835</v>
      </c>
      <c r="B1854" s="1" t="s">
        <v>3556</v>
      </c>
      <c r="C1854" s="1" t="s">
        <v>3557</v>
      </c>
      <c r="E1854">
        <f t="shared" si="28"/>
        <v>0</v>
      </c>
    </row>
    <row r="1855" spans="1:5">
      <c r="A1855" s="1">
        <f>IF(C1855="","",COUNTA(C$4:C1855))</f>
        <v>1836</v>
      </c>
      <c r="B1855" s="1" t="s">
        <v>3558</v>
      </c>
      <c r="C1855" s="1" t="s">
        <v>3559</v>
      </c>
      <c r="E1855">
        <f t="shared" si="28"/>
        <v>0</v>
      </c>
    </row>
    <row r="1856" spans="1:5">
      <c r="A1856" s="1">
        <f>IF(C1856="","",COUNTA(C$4:C1856))</f>
        <v>1837</v>
      </c>
      <c r="B1856" s="1" t="s">
        <v>3560</v>
      </c>
      <c r="C1856" s="1" t="s">
        <v>3561</v>
      </c>
      <c r="E1856">
        <f t="shared" si="28"/>
        <v>0</v>
      </c>
    </row>
    <row r="1857" spans="1:5">
      <c r="A1857" s="1">
        <f>IF(C1857="","",COUNTA(C$4:C1857))</f>
        <v>1838</v>
      </c>
      <c r="B1857" s="1" t="s">
        <v>3562</v>
      </c>
      <c r="C1857" s="1" t="s">
        <v>3563</v>
      </c>
      <c r="E1857">
        <f t="shared" si="28"/>
        <v>0</v>
      </c>
    </row>
    <row r="1858" spans="1:5">
      <c r="A1858" s="1">
        <f>IF(C1858="","",COUNTA(C$4:C1858))</f>
        <v>1839</v>
      </c>
      <c r="B1858" s="1" t="s">
        <v>3564</v>
      </c>
      <c r="C1858" s="1" t="s">
        <v>3565</v>
      </c>
      <c r="E1858">
        <f t="shared" si="28"/>
        <v>0</v>
      </c>
    </row>
    <row r="1859" spans="1:5">
      <c r="A1859" s="1">
        <f>IF(C1859="","",COUNTA(C$4:C1859))</f>
        <v>1840</v>
      </c>
      <c r="B1859" s="1" t="s">
        <v>3566</v>
      </c>
      <c r="C1859" s="1" t="s">
        <v>3567</v>
      </c>
      <c r="E1859">
        <f t="shared" si="28"/>
        <v>0</v>
      </c>
    </row>
    <row r="1860" spans="1:5">
      <c r="A1860" s="1">
        <f>IF(C1860="","",COUNTA(C$4:C1860))</f>
        <v>1841</v>
      </c>
      <c r="B1860" s="1" t="s">
        <v>3568</v>
      </c>
      <c r="C1860" s="1" t="s">
        <v>3569</v>
      </c>
      <c r="E1860">
        <f t="shared" si="28"/>
        <v>0</v>
      </c>
    </row>
    <row r="1861" spans="1:5">
      <c r="A1861" s="1">
        <f>IF(C1861="","",COUNTA(C$4:C1861))</f>
        <v>1842</v>
      </c>
      <c r="B1861" s="1" t="s">
        <v>3570</v>
      </c>
      <c r="C1861" s="1" t="s">
        <v>3571</v>
      </c>
      <c r="E1861">
        <f t="shared" ref="E1861:E1924" si="29">IF(C1861=D1861,1,0)</f>
        <v>0</v>
      </c>
    </row>
    <row r="1862" spans="1:5">
      <c r="A1862" s="1">
        <f>IF(C1862="","",COUNTA(C$4:C1862))</f>
        <v>1843</v>
      </c>
      <c r="B1862" s="1" t="s">
        <v>3572</v>
      </c>
      <c r="C1862" s="1" t="s">
        <v>3573</v>
      </c>
      <c r="E1862">
        <f t="shared" si="29"/>
        <v>0</v>
      </c>
    </row>
    <row r="1863" spans="1:5">
      <c r="A1863" s="1">
        <f>IF(C1863="","",COUNTA(C$4:C1863))</f>
        <v>1844</v>
      </c>
      <c r="B1863" s="1" t="s">
        <v>3574</v>
      </c>
      <c r="C1863" s="1" t="s">
        <v>3575</v>
      </c>
      <c r="E1863">
        <f t="shared" si="29"/>
        <v>0</v>
      </c>
    </row>
    <row r="1864" spans="1:5">
      <c r="A1864" s="1">
        <f>IF(C1864="","",COUNTA(C$4:C1864))</f>
        <v>1845</v>
      </c>
      <c r="B1864" s="1" t="s">
        <v>3576</v>
      </c>
      <c r="C1864" s="1" t="s">
        <v>3577</v>
      </c>
      <c r="E1864">
        <f t="shared" si="29"/>
        <v>0</v>
      </c>
    </row>
    <row r="1865" spans="1:5">
      <c r="A1865" s="1">
        <f>IF(C1865="","",COUNTA(C$4:C1865))</f>
        <v>1846</v>
      </c>
      <c r="B1865" s="1" t="s">
        <v>3578</v>
      </c>
      <c r="C1865" s="1" t="s">
        <v>3579</v>
      </c>
      <c r="E1865">
        <f t="shared" si="29"/>
        <v>0</v>
      </c>
    </row>
    <row r="1866" spans="1:5">
      <c r="A1866" s="1">
        <f>IF(C1866="","",COUNTA(C$4:C1866))</f>
        <v>1847</v>
      </c>
      <c r="B1866" s="1" t="s">
        <v>3580</v>
      </c>
      <c r="C1866" s="1" t="s">
        <v>3581</v>
      </c>
      <c r="E1866">
        <f t="shared" si="29"/>
        <v>0</v>
      </c>
    </row>
    <row r="1867" spans="1:5">
      <c r="A1867" s="1">
        <f>IF(C1867="","",COUNTA(C$4:C1867))</f>
        <v>1848</v>
      </c>
      <c r="B1867" s="1" t="s">
        <v>3582</v>
      </c>
      <c r="C1867" s="1" t="s">
        <v>3583</v>
      </c>
      <c r="E1867">
        <f t="shared" si="29"/>
        <v>0</v>
      </c>
    </row>
    <row r="1868" spans="1:5">
      <c r="A1868" s="1">
        <f>IF(C1868="","",COUNTA(C$4:C1868))</f>
        <v>1849</v>
      </c>
      <c r="B1868" s="1" t="s">
        <v>3584</v>
      </c>
      <c r="C1868" s="1" t="s">
        <v>3585</v>
      </c>
      <c r="E1868">
        <f t="shared" si="29"/>
        <v>0</v>
      </c>
    </row>
    <row r="1869" spans="1:5">
      <c r="A1869" s="1">
        <f>IF(C1869="","",COUNTA(C$4:C1869))</f>
        <v>1850</v>
      </c>
      <c r="B1869" s="1" t="s">
        <v>3586</v>
      </c>
      <c r="C1869" s="1" t="s">
        <v>3587</v>
      </c>
      <c r="E1869">
        <f t="shared" si="29"/>
        <v>0</v>
      </c>
    </row>
    <row r="1870" spans="1:5">
      <c r="A1870" s="1">
        <f>IF(C1870="","",COUNTA(C$4:C1870))</f>
        <v>1851</v>
      </c>
      <c r="B1870" s="1" t="s">
        <v>3588</v>
      </c>
      <c r="C1870" s="1" t="s">
        <v>3589</v>
      </c>
      <c r="E1870">
        <f t="shared" si="29"/>
        <v>0</v>
      </c>
    </row>
    <row r="1871" spans="1:5">
      <c r="A1871" s="1">
        <f>IF(C1871="","",COUNTA(C$4:C1871))</f>
        <v>1852</v>
      </c>
      <c r="B1871" s="1" t="s">
        <v>3590</v>
      </c>
      <c r="C1871" s="1" t="s">
        <v>3591</v>
      </c>
      <c r="E1871">
        <f t="shared" si="29"/>
        <v>0</v>
      </c>
    </row>
    <row r="1872" spans="1:5">
      <c r="A1872" s="1">
        <f>IF(C1872="","",COUNTA(C$4:C1872))</f>
        <v>1853</v>
      </c>
      <c r="B1872" s="1" t="s">
        <v>3592</v>
      </c>
      <c r="C1872" s="1" t="s">
        <v>3593</v>
      </c>
      <c r="E1872">
        <f t="shared" si="29"/>
        <v>0</v>
      </c>
    </row>
    <row r="1873" spans="1:5">
      <c r="A1873" s="1">
        <f>IF(C1873="","",COUNTA(C$4:C1873))</f>
        <v>1854</v>
      </c>
      <c r="B1873" s="1" t="s">
        <v>3594</v>
      </c>
      <c r="C1873" s="1" t="s">
        <v>3595</v>
      </c>
      <c r="E1873">
        <f t="shared" si="29"/>
        <v>0</v>
      </c>
    </row>
    <row r="1874" spans="1:5">
      <c r="A1874" s="1">
        <f>IF(C1874="","",COUNTA(C$4:C1874))</f>
        <v>1855</v>
      </c>
      <c r="B1874" s="1" t="s">
        <v>3596</v>
      </c>
      <c r="C1874" s="1" t="s">
        <v>3597</v>
      </c>
      <c r="E1874">
        <f t="shared" si="29"/>
        <v>0</v>
      </c>
    </row>
    <row r="1875" spans="1:5">
      <c r="A1875" s="1">
        <f>IF(C1875="","",COUNTA(C$4:C1875))</f>
        <v>1856</v>
      </c>
      <c r="B1875" s="1" t="s">
        <v>3598</v>
      </c>
      <c r="C1875" s="1" t="s">
        <v>3599</v>
      </c>
      <c r="E1875">
        <f t="shared" si="29"/>
        <v>0</v>
      </c>
    </row>
    <row r="1876" spans="1:5">
      <c r="A1876" s="1">
        <f>IF(C1876="","",COUNTA(C$4:C1876))</f>
        <v>1857</v>
      </c>
      <c r="B1876" s="1" t="s">
        <v>3600</v>
      </c>
      <c r="C1876" s="1" t="s">
        <v>3601</v>
      </c>
      <c r="E1876">
        <f t="shared" si="29"/>
        <v>0</v>
      </c>
    </row>
    <row r="1877" spans="1:5">
      <c r="A1877" s="1">
        <f>IF(C1877="","",COUNTA(C$4:C1877))</f>
        <v>1858</v>
      </c>
      <c r="B1877" s="1" t="s">
        <v>3602</v>
      </c>
      <c r="C1877" s="1" t="s">
        <v>3603</v>
      </c>
      <c r="E1877">
        <f t="shared" si="29"/>
        <v>0</v>
      </c>
    </row>
    <row r="1878" spans="1:5">
      <c r="A1878" s="1">
        <f>IF(C1878="","",COUNTA(C$4:C1878))</f>
        <v>1859</v>
      </c>
      <c r="B1878" s="1" t="s">
        <v>3438</v>
      </c>
      <c r="C1878" s="1" t="s">
        <v>3604</v>
      </c>
      <c r="E1878">
        <f t="shared" si="29"/>
        <v>0</v>
      </c>
    </row>
    <row r="1879" spans="1:5">
      <c r="A1879" s="1">
        <f>IF(C1879="","",COUNTA(C$4:C1879))</f>
        <v>1860</v>
      </c>
      <c r="B1879" s="1" t="s">
        <v>3605</v>
      </c>
      <c r="C1879" s="1" t="s">
        <v>3606</v>
      </c>
      <c r="E1879">
        <f t="shared" si="29"/>
        <v>0</v>
      </c>
    </row>
    <row r="1880" spans="1:5">
      <c r="A1880" s="1">
        <f>IF(C1880="","",COUNTA(C$4:C1880))</f>
        <v>1861</v>
      </c>
      <c r="B1880" s="1" t="s">
        <v>3607</v>
      </c>
      <c r="C1880" s="1" t="s">
        <v>3608</v>
      </c>
      <c r="E1880">
        <f t="shared" si="29"/>
        <v>0</v>
      </c>
    </row>
    <row r="1881" spans="1:5">
      <c r="A1881" s="1">
        <f>IF(C1881="","",COUNTA(C$4:C1881))</f>
        <v>1862</v>
      </c>
      <c r="B1881" s="1" t="s">
        <v>3609</v>
      </c>
      <c r="C1881" s="1" t="s">
        <v>3610</v>
      </c>
      <c r="E1881">
        <f t="shared" si="29"/>
        <v>0</v>
      </c>
    </row>
    <row r="1882" spans="1:5">
      <c r="A1882" s="1">
        <f>IF(C1882="","",COUNTA(C$4:C1882))</f>
        <v>1863</v>
      </c>
      <c r="B1882" s="1" t="s">
        <v>3611</v>
      </c>
      <c r="C1882" s="1" t="s">
        <v>3612</v>
      </c>
      <c r="E1882">
        <f t="shared" si="29"/>
        <v>0</v>
      </c>
    </row>
    <row r="1883" spans="1:5">
      <c r="A1883" s="1">
        <f>IF(C1883="","",COUNTA(C$4:C1883))</f>
        <v>1864</v>
      </c>
      <c r="B1883" s="1" t="s">
        <v>3613</v>
      </c>
      <c r="C1883" s="1" t="s">
        <v>3614</v>
      </c>
      <c r="E1883">
        <f t="shared" si="29"/>
        <v>0</v>
      </c>
    </row>
    <row r="1884" spans="1:5">
      <c r="A1884" s="1">
        <f>IF(C1884="","",COUNTA(C$4:C1884))</f>
        <v>1865</v>
      </c>
      <c r="B1884" s="1" t="s">
        <v>3613</v>
      </c>
      <c r="C1884" s="1" t="s">
        <v>3615</v>
      </c>
      <c r="E1884">
        <f t="shared" si="29"/>
        <v>0</v>
      </c>
    </row>
    <row r="1885" spans="1:5">
      <c r="A1885" s="1">
        <f>IF(C1885="","",COUNTA(C$4:C1885))</f>
        <v>1866</v>
      </c>
      <c r="B1885" s="3" t="s">
        <v>3616</v>
      </c>
      <c r="C1885" s="1" t="s">
        <v>3617</v>
      </c>
      <c r="E1885">
        <f t="shared" si="29"/>
        <v>0</v>
      </c>
    </row>
    <row r="1886" spans="1:5">
      <c r="A1886" s="1">
        <f>IF(C1886="","",COUNTA(C$4:C1886))</f>
        <v>1867</v>
      </c>
      <c r="B1886" s="1" t="s">
        <v>3618</v>
      </c>
      <c r="C1886" s="1" t="s">
        <v>3619</v>
      </c>
      <c r="E1886">
        <f t="shared" si="29"/>
        <v>0</v>
      </c>
    </row>
    <row r="1887" spans="1:5">
      <c r="A1887" s="1">
        <f>IF(C1887="","",COUNTA(C$4:C1887))</f>
        <v>1868</v>
      </c>
      <c r="B1887" s="1" t="s">
        <v>3620</v>
      </c>
      <c r="C1887" s="1" t="s">
        <v>3621</v>
      </c>
      <c r="E1887">
        <f t="shared" si="29"/>
        <v>0</v>
      </c>
    </row>
    <row r="1888" spans="1:5">
      <c r="A1888" s="1">
        <f>IF(C1888="","",COUNTA(C$4:C1888))</f>
        <v>1869</v>
      </c>
      <c r="B1888" s="1" t="s">
        <v>3622</v>
      </c>
      <c r="C1888" s="1" t="s">
        <v>3623</v>
      </c>
      <c r="E1888">
        <f t="shared" si="29"/>
        <v>0</v>
      </c>
    </row>
    <row r="1889" spans="1:5">
      <c r="A1889" s="1">
        <f>IF(C1889="","",COUNTA(C$4:C1889))</f>
        <v>1870</v>
      </c>
      <c r="B1889" s="1" t="s">
        <v>3624</v>
      </c>
      <c r="C1889" s="1" t="s">
        <v>3625</v>
      </c>
      <c r="E1889">
        <f t="shared" si="29"/>
        <v>0</v>
      </c>
    </row>
    <row r="1890" spans="1:5">
      <c r="A1890" s="1">
        <f>IF(C1890="","",COUNTA(C$4:C1890))</f>
        <v>1871</v>
      </c>
      <c r="B1890" s="1" t="s">
        <v>3626</v>
      </c>
      <c r="C1890" s="1" t="s">
        <v>3627</v>
      </c>
      <c r="E1890">
        <f t="shared" si="29"/>
        <v>0</v>
      </c>
    </row>
    <row r="1891" spans="1:5">
      <c r="A1891" s="1">
        <f>IF(C1891="","",COUNTA(C$4:C1891))</f>
        <v>1872</v>
      </c>
      <c r="B1891" s="1" t="s">
        <v>3628</v>
      </c>
      <c r="C1891" s="1" t="s">
        <v>3629</v>
      </c>
      <c r="E1891">
        <f t="shared" si="29"/>
        <v>0</v>
      </c>
    </row>
    <row r="1892" spans="1:5">
      <c r="A1892" s="1">
        <f>IF(C1892="","",COUNTA(C$4:C1892))</f>
        <v>1873</v>
      </c>
      <c r="B1892" s="1" t="s">
        <v>3630</v>
      </c>
      <c r="C1892" s="1" t="s">
        <v>3631</v>
      </c>
      <c r="E1892">
        <f t="shared" si="29"/>
        <v>0</v>
      </c>
    </row>
    <row r="1893" spans="1:5">
      <c r="A1893" s="1">
        <f>IF(C1893="","",COUNTA(C$4:C1893))</f>
        <v>1874</v>
      </c>
      <c r="B1893" s="1" t="s">
        <v>3632</v>
      </c>
      <c r="C1893" s="1" t="s">
        <v>3633</v>
      </c>
      <c r="E1893">
        <f t="shared" si="29"/>
        <v>0</v>
      </c>
    </row>
    <row r="1894" spans="1:5">
      <c r="A1894" s="1">
        <f>IF(C1894="","",COUNTA(C$4:C1894))</f>
        <v>1875</v>
      </c>
      <c r="B1894" s="1" t="s">
        <v>3632</v>
      </c>
      <c r="C1894" s="1" t="s">
        <v>3634</v>
      </c>
      <c r="E1894">
        <f t="shared" si="29"/>
        <v>0</v>
      </c>
    </row>
    <row r="1895" spans="1:5">
      <c r="A1895" s="1">
        <f>IF(C1895="","",COUNTA(C$4:C1895))</f>
        <v>1876</v>
      </c>
      <c r="B1895" s="1" t="s">
        <v>3635</v>
      </c>
      <c r="C1895" s="1" t="s">
        <v>3636</v>
      </c>
      <c r="E1895">
        <f t="shared" si="29"/>
        <v>0</v>
      </c>
    </row>
    <row r="1896" spans="1:5">
      <c r="A1896" s="1">
        <f>IF(C1896="","",COUNTA(C$4:C1896))</f>
        <v>1877</v>
      </c>
      <c r="B1896" s="1" t="s">
        <v>3637</v>
      </c>
      <c r="C1896" s="1" t="s">
        <v>3638</v>
      </c>
      <c r="E1896">
        <f t="shared" si="29"/>
        <v>0</v>
      </c>
    </row>
    <row r="1897" spans="1:5">
      <c r="A1897" s="1">
        <f>IF(C1897="","",COUNTA(C$4:C1897))</f>
        <v>1878</v>
      </c>
      <c r="B1897" s="1" t="s">
        <v>3639</v>
      </c>
      <c r="C1897" s="1" t="s">
        <v>3640</v>
      </c>
      <c r="E1897">
        <f t="shared" si="29"/>
        <v>0</v>
      </c>
    </row>
    <row r="1898" spans="1:5">
      <c r="A1898" s="1">
        <f>IF(C1898="","",COUNTA(C$4:C1898))</f>
        <v>1879</v>
      </c>
      <c r="B1898" s="1" t="s">
        <v>3641</v>
      </c>
      <c r="C1898" s="1" t="s">
        <v>3642</v>
      </c>
      <c r="E1898">
        <f t="shared" si="29"/>
        <v>0</v>
      </c>
    </row>
    <row r="1899" spans="1:5">
      <c r="A1899" s="1">
        <f>IF(C1899="","",COUNTA(C$4:C1899))</f>
        <v>1880</v>
      </c>
      <c r="B1899" s="1" t="s">
        <v>3643</v>
      </c>
      <c r="C1899" s="1" t="s">
        <v>3644</v>
      </c>
      <c r="E1899">
        <f t="shared" si="29"/>
        <v>0</v>
      </c>
    </row>
    <row r="1900" spans="1:5">
      <c r="A1900" s="1">
        <f>IF(C1900="","",COUNTA(C$4:C1900))</f>
        <v>1881</v>
      </c>
      <c r="B1900" s="1" t="s">
        <v>3645</v>
      </c>
      <c r="C1900" s="1" t="s">
        <v>3646</v>
      </c>
      <c r="E1900">
        <f t="shared" si="29"/>
        <v>0</v>
      </c>
    </row>
    <row r="1901" spans="1:5">
      <c r="A1901" s="1">
        <f>IF(C1901="","",COUNTA(C$4:C1901))</f>
        <v>1882</v>
      </c>
      <c r="B1901" s="1" t="s">
        <v>3647</v>
      </c>
      <c r="C1901" s="1" t="s">
        <v>3648</v>
      </c>
      <c r="E1901">
        <f t="shared" si="29"/>
        <v>0</v>
      </c>
    </row>
    <row r="1902" spans="1:5">
      <c r="A1902" s="1">
        <f>IF(C1902="","",COUNTA(C$4:C1902))</f>
        <v>1883</v>
      </c>
      <c r="B1902" s="1" t="s">
        <v>3649</v>
      </c>
      <c r="C1902" s="1" t="s">
        <v>3650</v>
      </c>
      <c r="E1902">
        <f t="shared" si="29"/>
        <v>0</v>
      </c>
    </row>
    <row r="1903" spans="1:5">
      <c r="A1903" s="1">
        <f>IF(C1903="","",COUNTA(C$4:C1903))</f>
        <v>1884</v>
      </c>
      <c r="B1903" s="1" t="s">
        <v>3651</v>
      </c>
      <c r="C1903" s="1" t="s">
        <v>3652</v>
      </c>
      <c r="E1903">
        <f t="shared" si="29"/>
        <v>0</v>
      </c>
    </row>
    <row r="1904" spans="1:5">
      <c r="A1904" s="1">
        <f>IF(C1904="","",COUNTA(C$4:C1904))</f>
        <v>1885</v>
      </c>
      <c r="B1904" s="1" t="s">
        <v>3653</v>
      </c>
      <c r="C1904" s="1" t="s">
        <v>3654</v>
      </c>
      <c r="E1904">
        <f t="shared" si="29"/>
        <v>0</v>
      </c>
    </row>
    <row r="1905" spans="1:5">
      <c r="A1905" s="1">
        <f>IF(C1905="","",COUNTA(C$4:C1905))</f>
        <v>1886</v>
      </c>
      <c r="B1905" s="1" t="s">
        <v>3655</v>
      </c>
      <c r="C1905" s="1" t="s">
        <v>3656</v>
      </c>
      <c r="E1905">
        <f t="shared" si="29"/>
        <v>0</v>
      </c>
    </row>
    <row r="1906" spans="1:5">
      <c r="A1906" s="1">
        <f>IF(C1906="","",COUNTA(C$4:C1906))</f>
        <v>1887</v>
      </c>
      <c r="B1906" s="1" t="s">
        <v>3657</v>
      </c>
      <c r="C1906" s="1" t="s">
        <v>3658</v>
      </c>
      <c r="E1906">
        <f t="shared" si="29"/>
        <v>0</v>
      </c>
    </row>
    <row r="1907" spans="1:5">
      <c r="A1907" s="1">
        <f>IF(C1907="","",COUNTA(C$4:C1907))</f>
        <v>1888</v>
      </c>
      <c r="B1907" s="1" t="s">
        <v>3659</v>
      </c>
      <c r="C1907" s="1" t="s">
        <v>3660</v>
      </c>
      <c r="E1907">
        <f t="shared" si="29"/>
        <v>0</v>
      </c>
    </row>
    <row r="1908" spans="1:5">
      <c r="A1908" s="1">
        <f>IF(C1908="","",COUNTA(C$4:C1908))</f>
        <v>1889</v>
      </c>
      <c r="B1908" s="1" t="s">
        <v>3661</v>
      </c>
      <c r="C1908" s="1" t="s">
        <v>3662</v>
      </c>
      <c r="E1908">
        <f t="shared" si="29"/>
        <v>0</v>
      </c>
    </row>
    <row r="1909" spans="1:5">
      <c r="A1909" s="1">
        <f>IF(C1909="","",COUNTA(C$4:C1909))</f>
        <v>1890</v>
      </c>
      <c r="B1909" s="1" t="s">
        <v>3663</v>
      </c>
      <c r="C1909" s="1" t="s">
        <v>3664</v>
      </c>
      <c r="E1909">
        <f t="shared" si="29"/>
        <v>0</v>
      </c>
    </row>
    <row r="1910" spans="1:5">
      <c r="A1910" s="1">
        <f>IF(C1910="","",COUNTA(C$4:C1910))</f>
        <v>1891</v>
      </c>
      <c r="B1910" s="1" t="s">
        <v>3665</v>
      </c>
      <c r="C1910" s="1" t="s">
        <v>3666</v>
      </c>
      <c r="E1910">
        <f t="shared" si="29"/>
        <v>0</v>
      </c>
    </row>
    <row r="1911" spans="1:5">
      <c r="A1911" s="1">
        <f>IF(C1911="","",COUNTA(C$4:C1911))</f>
        <v>1892</v>
      </c>
      <c r="B1911" s="1" t="s">
        <v>3667</v>
      </c>
      <c r="C1911" s="1" t="s">
        <v>3668</v>
      </c>
      <c r="E1911">
        <f t="shared" si="29"/>
        <v>0</v>
      </c>
    </row>
    <row r="1912" spans="1:5">
      <c r="A1912" s="1">
        <f>IF(C1912="","",COUNTA(C$4:C1912))</f>
        <v>1893</v>
      </c>
      <c r="B1912" s="1" t="s">
        <v>3669</v>
      </c>
      <c r="C1912" s="1" t="s">
        <v>3670</v>
      </c>
      <c r="E1912">
        <f t="shared" si="29"/>
        <v>0</v>
      </c>
    </row>
    <row r="1913" spans="1:5">
      <c r="A1913" s="1">
        <f>IF(C1913="","",COUNTA(C$4:C1913))</f>
        <v>1894</v>
      </c>
      <c r="B1913" s="1" t="s">
        <v>3671</v>
      </c>
      <c r="C1913" s="1" t="s">
        <v>3672</v>
      </c>
      <c r="E1913">
        <f t="shared" si="29"/>
        <v>0</v>
      </c>
    </row>
    <row r="1914" spans="1:5">
      <c r="A1914" s="1">
        <f>IF(C1914="","",COUNTA(C$4:C1914))</f>
        <v>1895</v>
      </c>
      <c r="B1914" s="1" t="s">
        <v>3673</v>
      </c>
      <c r="C1914" s="1" t="s">
        <v>3674</v>
      </c>
      <c r="E1914">
        <f t="shared" si="29"/>
        <v>0</v>
      </c>
    </row>
    <row r="1915" spans="1:5">
      <c r="A1915" s="1">
        <f>IF(C1915="","",COUNTA(C$4:C1915))</f>
        <v>1896</v>
      </c>
      <c r="B1915" s="1" t="s">
        <v>3675</v>
      </c>
      <c r="C1915" s="1" t="s">
        <v>3676</v>
      </c>
      <c r="E1915">
        <f t="shared" si="29"/>
        <v>0</v>
      </c>
    </row>
    <row r="1916" spans="1:5">
      <c r="A1916" s="1">
        <f>IF(C1916="","",COUNTA(C$4:C1916))</f>
        <v>1897</v>
      </c>
      <c r="B1916" s="1" t="s">
        <v>3677</v>
      </c>
      <c r="C1916" s="1" t="s">
        <v>3678</v>
      </c>
      <c r="E1916">
        <f t="shared" si="29"/>
        <v>0</v>
      </c>
    </row>
    <row r="1917" spans="1:5">
      <c r="A1917" s="1">
        <f>IF(C1917="","",COUNTA(C$4:C1917))</f>
        <v>1898</v>
      </c>
      <c r="B1917" s="1" t="s">
        <v>3679</v>
      </c>
      <c r="C1917" s="1" t="s">
        <v>3680</v>
      </c>
      <c r="E1917">
        <f t="shared" si="29"/>
        <v>0</v>
      </c>
    </row>
    <row r="1918" spans="1:5">
      <c r="A1918" s="1">
        <f>IF(C1918="","",COUNTA(C$4:C1918))</f>
        <v>1899</v>
      </c>
      <c r="B1918" s="1" t="s">
        <v>3681</v>
      </c>
      <c r="C1918" s="1" t="s">
        <v>3682</v>
      </c>
      <c r="E1918">
        <f t="shared" si="29"/>
        <v>0</v>
      </c>
    </row>
    <row r="1919" spans="1:5">
      <c r="A1919" s="1">
        <f>IF(C1919="","",COUNTA(C$4:C1919))</f>
        <v>1900</v>
      </c>
      <c r="B1919" s="1" t="s">
        <v>3683</v>
      </c>
      <c r="C1919" s="1" t="s">
        <v>3684</v>
      </c>
      <c r="E1919">
        <f t="shared" si="29"/>
        <v>0</v>
      </c>
    </row>
    <row r="1920" spans="1:5">
      <c r="A1920" s="1">
        <f>IF(C1920="","",COUNTA(C$4:C1920))</f>
        <v>1901</v>
      </c>
      <c r="B1920" s="1" t="s">
        <v>3685</v>
      </c>
      <c r="C1920" s="1" t="s">
        <v>3686</v>
      </c>
      <c r="E1920">
        <f t="shared" si="29"/>
        <v>0</v>
      </c>
    </row>
    <row r="1921" spans="1:5">
      <c r="A1921" s="1">
        <f>IF(C1921="","",COUNTA(C$4:C1921))</f>
        <v>1902</v>
      </c>
      <c r="B1921" s="1" t="s">
        <v>3687</v>
      </c>
      <c r="C1921" s="1" t="s">
        <v>3688</v>
      </c>
      <c r="E1921">
        <f t="shared" si="29"/>
        <v>0</v>
      </c>
    </row>
    <row r="1922" spans="1:5">
      <c r="A1922" s="1">
        <f>IF(C1922="","",COUNTA(C$4:C1922))</f>
        <v>1903</v>
      </c>
      <c r="B1922" s="1" t="s">
        <v>3689</v>
      </c>
      <c r="C1922" s="1" t="s">
        <v>3690</v>
      </c>
      <c r="E1922">
        <f t="shared" si="29"/>
        <v>0</v>
      </c>
    </row>
    <row r="1923" spans="1:5">
      <c r="A1923" s="1">
        <f>IF(C1923="","",COUNTA(C$4:C1923))</f>
        <v>1904</v>
      </c>
      <c r="B1923" s="1" t="s">
        <v>3691</v>
      </c>
      <c r="C1923" s="1" t="s">
        <v>3692</v>
      </c>
      <c r="E1923">
        <f t="shared" si="29"/>
        <v>0</v>
      </c>
    </row>
    <row r="1924" spans="1:5">
      <c r="A1924" s="1">
        <f>IF(C1924="","",COUNTA(C$4:C1924))</f>
        <v>1905</v>
      </c>
      <c r="B1924" s="1" t="s">
        <v>3693</v>
      </c>
      <c r="C1924" s="1" t="s">
        <v>3694</v>
      </c>
      <c r="E1924">
        <f t="shared" si="29"/>
        <v>0</v>
      </c>
    </row>
    <row r="1925" spans="1:5">
      <c r="A1925" s="1">
        <f>IF(C1925="","",COUNTA(C$4:C1925))</f>
        <v>1906</v>
      </c>
      <c r="B1925" s="1" t="s">
        <v>3695</v>
      </c>
      <c r="C1925" s="1" t="s">
        <v>3696</v>
      </c>
      <c r="E1925">
        <f t="shared" ref="E1925:E1988" si="30">IF(C1925=D1925,1,0)</f>
        <v>0</v>
      </c>
    </row>
    <row r="1926" spans="1:5">
      <c r="A1926" s="1">
        <f>IF(C1926="","",COUNTA(C$4:C1926))</f>
        <v>1907</v>
      </c>
      <c r="B1926" s="1" t="s">
        <v>3697</v>
      </c>
      <c r="C1926" s="1" t="s">
        <v>3698</v>
      </c>
      <c r="E1926">
        <f t="shared" si="30"/>
        <v>0</v>
      </c>
    </row>
    <row r="1927" spans="1:5">
      <c r="A1927" s="1">
        <f>IF(C1927="","",COUNTA(C$4:C1927))</f>
        <v>1908</v>
      </c>
      <c r="B1927" s="1" t="s">
        <v>3699</v>
      </c>
      <c r="C1927" s="1" t="s">
        <v>3700</v>
      </c>
      <c r="E1927">
        <f t="shared" si="30"/>
        <v>0</v>
      </c>
    </row>
    <row r="1928" spans="1:5">
      <c r="A1928" s="1">
        <f>IF(C1928="","",COUNTA(C$4:C1928))</f>
        <v>1909</v>
      </c>
      <c r="B1928" s="1" t="s">
        <v>3701</v>
      </c>
      <c r="C1928" s="1" t="s">
        <v>3702</v>
      </c>
      <c r="E1928">
        <f t="shared" si="30"/>
        <v>0</v>
      </c>
    </row>
    <row r="1929" spans="1:5">
      <c r="A1929" s="1">
        <f>IF(C1929="","",COUNTA(C$4:C1929))</f>
        <v>1910</v>
      </c>
      <c r="B1929" s="1" t="s">
        <v>3703</v>
      </c>
      <c r="C1929" s="1" t="s">
        <v>3704</v>
      </c>
      <c r="E1929">
        <f t="shared" si="30"/>
        <v>0</v>
      </c>
    </row>
    <row r="1930" spans="1:5">
      <c r="A1930" s="1">
        <f>IF(C1930="","",COUNTA(C$4:C1930))</f>
        <v>1911</v>
      </c>
      <c r="B1930" s="1" t="s">
        <v>3705</v>
      </c>
      <c r="C1930" s="1" t="s">
        <v>3706</v>
      </c>
      <c r="E1930">
        <f t="shared" si="30"/>
        <v>0</v>
      </c>
    </row>
    <row r="1931" spans="1:5">
      <c r="A1931" s="1">
        <f>IF(C1931="","",COUNTA(C$4:C1931))</f>
        <v>1912</v>
      </c>
      <c r="B1931" s="1" t="s">
        <v>3707</v>
      </c>
      <c r="C1931" s="1" t="s">
        <v>3708</v>
      </c>
      <c r="E1931">
        <f t="shared" si="30"/>
        <v>0</v>
      </c>
    </row>
    <row r="1932" spans="1:5">
      <c r="A1932" s="1">
        <f>IF(C1932="","",COUNTA(C$4:C1932))</f>
        <v>1913</v>
      </c>
      <c r="B1932" s="1" t="s">
        <v>3709</v>
      </c>
      <c r="C1932" s="1" t="s">
        <v>3710</v>
      </c>
      <c r="E1932">
        <f t="shared" si="30"/>
        <v>0</v>
      </c>
    </row>
    <row r="1933" spans="1:5">
      <c r="A1933" s="1">
        <f>IF(C1933="","",COUNTA(C$4:C1933))</f>
        <v>1914</v>
      </c>
      <c r="B1933" s="1" t="s">
        <v>3711</v>
      </c>
      <c r="C1933" s="1" t="s">
        <v>3712</v>
      </c>
      <c r="E1933">
        <f t="shared" si="30"/>
        <v>0</v>
      </c>
    </row>
    <row r="1934" spans="1:5">
      <c r="A1934" s="1">
        <f>IF(C1934="","",COUNTA(C$4:C1934))</f>
        <v>1915</v>
      </c>
      <c r="B1934" s="1" t="s">
        <v>3713</v>
      </c>
      <c r="C1934" s="1" t="s">
        <v>3714</v>
      </c>
      <c r="E1934">
        <f t="shared" si="30"/>
        <v>0</v>
      </c>
    </row>
    <row r="1935" spans="1:5">
      <c r="A1935" s="1">
        <f>IF(C1935="","",COUNTA(C$4:C1935))</f>
        <v>1916</v>
      </c>
      <c r="B1935" s="1" t="s">
        <v>3715</v>
      </c>
      <c r="C1935" s="1" t="s">
        <v>3716</v>
      </c>
      <c r="E1935">
        <f t="shared" si="30"/>
        <v>0</v>
      </c>
    </row>
    <row r="1936" spans="1:5">
      <c r="A1936" s="1">
        <f>IF(C1936="","",COUNTA(C$4:C1936))</f>
        <v>1917</v>
      </c>
      <c r="B1936" s="1" t="s">
        <v>3717</v>
      </c>
      <c r="C1936" s="1" t="s">
        <v>3718</v>
      </c>
      <c r="E1936">
        <f t="shared" si="30"/>
        <v>0</v>
      </c>
    </row>
    <row r="1937" spans="1:5">
      <c r="A1937" s="1">
        <f>IF(C1937="","",COUNTA(C$4:C1937))</f>
        <v>1918</v>
      </c>
      <c r="B1937" s="1" t="s">
        <v>3719</v>
      </c>
      <c r="C1937" s="1" t="s">
        <v>3720</v>
      </c>
      <c r="E1937">
        <f t="shared" si="30"/>
        <v>0</v>
      </c>
    </row>
    <row r="1938" spans="1:5">
      <c r="A1938" s="1">
        <f>IF(C1938="","",COUNTA(C$4:C1938))</f>
        <v>1919</v>
      </c>
      <c r="B1938" s="1" t="s">
        <v>3721</v>
      </c>
      <c r="C1938" s="1" t="s">
        <v>3722</v>
      </c>
      <c r="E1938">
        <f t="shared" si="30"/>
        <v>0</v>
      </c>
    </row>
    <row r="1939" spans="1:5">
      <c r="A1939" s="1">
        <f>IF(C1939="","",COUNTA(C$4:C1939))</f>
        <v>1920</v>
      </c>
      <c r="B1939" s="1" t="s">
        <v>3723</v>
      </c>
      <c r="C1939" s="1" t="s">
        <v>3724</v>
      </c>
      <c r="E1939">
        <f t="shared" si="30"/>
        <v>0</v>
      </c>
    </row>
    <row r="1940" spans="1:5">
      <c r="A1940" s="1">
        <f>IF(C1940="","",COUNTA(C$4:C1940))</f>
        <v>1921</v>
      </c>
      <c r="B1940" s="1" t="s">
        <v>3725</v>
      </c>
      <c r="C1940" s="1" t="s">
        <v>3726</v>
      </c>
      <c r="E1940">
        <f t="shared" si="30"/>
        <v>0</v>
      </c>
    </row>
    <row r="1941" spans="1:5">
      <c r="A1941" s="1">
        <f>IF(C1941="","",COUNTA(C$4:C1941))</f>
        <v>1922</v>
      </c>
      <c r="B1941" s="1" t="s">
        <v>3727</v>
      </c>
      <c r="C1941" s="1" t="s">
        <v>3728</v>
      </c>
      <c r="E1941">
        <f t="shared" si="30"/>
        <v>0</v>
      </c>
    </row>
    <row r="1942" spans="1:5">
      <c r="A1942" s="1">
        <f>IF(C1942="","",COUNTA(C$4:C1942))</f>
        <v>1923</v>
      </c>
      <c r="B1942" s="1" t="s">
        <v>3729</v>
      </c>
      <c r="C1942" s="1" t="s">
        <v>3730</v>
      </c>
      <c r="E1942">
        <f t="shared" si="30"/>
        <v>0</v>
      </c>
    </row>
    <row r="1943" spans="1:5">
      <c r="A1943" s="1">
        <f>IF(C1943="","",COUNTA(C$4:C1943))</f>
        <v>1924</v>
      </c>
      <c r="B1943" s="1" t="s">
        <v>3731</v>
      </c>
      <c r="C1943" s="1" t="s">
        <v>808</v>
      </c>
      <c r="E1943">
        <f t="shared" si="30"/>
        <v>0</v>
      </c>
    </row>
    <row r="1944" spans="1:5">
      <c r="A1944" s="1">
        <f>IF(C1944="","",COUNTA(C$4:C1944))</f>
        <v>1925</v>
      </c>
      <c r="B1944" s="1" t="s">
        <v>3732</v>
      </c>
      <c r="C1944" s="1" t="s">
        <v>3733</v>
      </c>
      <c r="E1944">
        <f t="shared" si="30"/>
        <v>0</v>
      </c>
    </row>
    <row r="1945" spans="1:5">
      <c r="A1945" s="12" t="s">
        <v>3734</v>
      </c>
      <c r="B1945" s="13"/>
      <c r="C1945" s="14"/>
      <c r="D1945" s="9"/>
      <c r="E1945">
        <f t="shared" si="30"/>
        <v>1</v>
      </c>
    </row>
    <row r="1946" spans="1:5">
      <c r="A1946" s="1">
        <f>IF(C1946="","",COUNTA(C$4:C1946))</f>
        <v>1926</v>
      </c>
      <c r="B1946" s="1" t="s">
        <v>3735</v>
      </c>
      <c r="C1946" s="1" t="s">
        <v>3736</v>
      </c>
      <c r="E1946">
        <f t="shared" si="30"/>
        <v>0</v>
      </c>
    </row>
    <row r="1947" spans="1:5">
      <c r="A1947" s="1">
        <f>IF(C1947="","",COUNTA(C$4:C1947))</f>
        <v>1927</v>
      </c>
      <c r="B1947" s="1" t="s">
        <v>3737</v>
      </c>
      <c r="C1947" s="1" t="s">
        <v>3738</v>
      </c>
      <c r="E1947">
        <f t="shared" si="30"/>
        <v>0</v>
      </c>
    </row>
    <row r="1948" spans="1:5">
      <c r="A1948" s="1">
        <f>IF(C1948="","",COUNTA(C$4:C1948))</f>
        <v>1928</v>
      </c>
      <c r="B1948" s="1" t="s">
        <v>3739</v>
      </c>
      <c r="C1948" s="1" t="s">
        <v>3740</v>
      </c>
      <c r="E1948">
        <f t="shared" si="30"/>
        <v>0</v>
      </c>
    </row>
    <row r="1949" spans="1:5">
      <c r="A1949" s="1">
        <f>IF(C1949="","",COUNTA(C$4:C1949))</f>
        <v>1929</v>
      </c>
      <c r="B1949" s="1" t="s">
        <v>3741</v>
      </c>
      <c r="C1949" s="1" t="s">
        <v>3742</v>
      </c>
      <c r="E1949">
        <f t="shared" si="30"/>
        <v>0</v>
      </c>
    </row>
    <row r="1950" spans="1:5">
      <c r="A1950" s="1">
        <f>IF(C1950="","",COUNTA(C$4:C1950))</f>
        <v>1930</v>
      </c>
      <c r="B1950" s="1" t="s">
        <v>3743</v>
      </c>
      <c r="C1950" s="1" t="s">
        <v>3744</v>
      </c>
      <c r="E1950">
        <f t="shared" si="30"/>
        <v>0</v>
      </c>
    </row>
    <row r="1951" spans="1:5">
      <c r="A1951" s="1">
        <f>IF(C1951="","",COUNTA(C$4:C1951))</f>
        <v>1931</v>
      </c>
      <c r="B1951" s="1" t="s">
        <v>3745</v>
      </c>
      <c r="C1951" s="1" t="s">
        <v>3746</v>
      </c>
      <c r="E1951">
        <f t="shared" si="30"/>
        <v>0</v>
      </c>
    </row>
    <row r="1952" spans="1:5">
      <c r="A1952" s="1">
        <f>IF(C1952="","",COUNTA(C$4:C1952))</f>
        <v>1932</v>
      </c>
      <c r="B1952" s="1" t="s">
        <v>3747</v>
      </c>
      <c r="C1952" s="1" t="s">
        <v>3748</v>
      </c>
      <c r="E1952">
        <f t="shared" si="30"/>
        <v>0</v>
      </c>
    </row>
    <row r="1953" spans="1:5">
      <c r="A1953" s="1">
        <f>IF(C1953="","",COUNTA(C$4:C1953))</f>
        <v>1933</v>
      </c>
      <c r="B1953" s="1" t="s">
        <v>3749</v>
      </c>
      <c r="C1953" s="1" t="s">
        <v>3750</v>
      </c>
      <c r="E1953">
        <f t="shared" si="30"/>
        <v>0</v>
      </c>
    </row>
    <row r="1954" spans="1:5">
      <c r="A1954" s="1">
        <f>IF(C1954="","",COUNTA(C$4:C1954))</f>
        <v>1934</v>
      </c>
      <c r="B1954" s="1" t="s">
        <v>3751</v>
      </c>
      <c r="C1954" s="1" t="s">
        <v>3752</v>
      </c>
      <c r="E1954">
        <f t="shared" si="30"/>
        <v>0</v>
      </c>
    </row>
    <row r="1955" spans="1:5">
      <c r="A1955" s="1">
        <f>IF(C1955="","",COUNTA(C$4:C1955))</f>
        <v>1935</v>
      </c>
      <c r="B1955" s="1" t="s">
        <v>3753</v>
      </c>
      <c r="C1955" s="1" t="s">
        <v>3754</v>
      </c>
      <c r="E1955">
        <f t="shared" si="30"/>
        <v>0</v>
      </c>
    </row>
    <row r="1956" spans="1:5">
      <c r="A1956" s="1">
        <f>IF(C1956="","",COUNTA(C$4:C1956))</f>
        <v>1936</v>
      </c>
      <c r="B1956" s="1" t="s">
        <v>3755</v>
      </c>
      <c r="C1956" s="1" t="s">
        <v>3756</v>
      </c>
      <c r="E1956">
        <f t="shared" si="30"/>
        <v>0</v>
      </c>
    </row>
    <row r="1957" spans="1:5">
      <c r="A1957" s="1">
        <f>IF(C1957="","",COUNTA(C$4:C1957))</f>
        <v>1937</v>
      </c>
      <c r="B1957" s="1" t="s">
        <v>3757</v>
      </c>
      <c r="C1957" s="1" t="s">
        <v>3758</v>
      </c>
      <c r="E1957">
        <f t="shared" si="30"/>
        <v>0</v>
      </c>
    </row>
    <row r="1958" spans="1:5">
      <c r="A1958" s="1">
        <f>IF(C1958="","",COUNTA(C$4:C1958))</f>
        <v>1938</v>
      </c>
      <c r="B1958" s="1" t="s">
        <v>3759</v>
      </c>
      <c r="C1958" s="1" t="s">
        <v>3760</v>
      </c>
      <c r="E1958">
        <f t="shared" si="30"/>
        <v>0</v>
      </c>
    </row>
    <row r="1959" spans="1:5">
      <c r="A1959" s="1">
        <f>IF(C1959="","",COUNTA(C$4:C1959))</f>
        <v>1939</v>
      </c>
      <c r="B1959" s="1" t="s">
        <v>3761</v>
      </c>
      <c r="C1959" s="1" t="s">
        <v>3762</v>
      </c>
      <c r="E1959">
        <f t="shared" si="30"/>
        <v>0</v>
      </c>
    </row>
    <row r="1960" spans="1:5">
      <c r="A1960" s="1">
        <f>IF(C1960="","",COUNTA(C$4:C1960))</f>
        <v>1940</v>
      </c>
      <c r="B1960" s="1" t="s">
        <v>3763</v>
      </c>
      <c r="C1960" s="1" t="s">
        <v>3764</v>
      </c>
      <c r="E1960">
        <f t="shared" si="30"/>
        <v>0</v>
      </c>
    </row>
    <row r="1961" spans="1:5">
      <c r="A1961" s="1">
        <f>IF(C1961="","",COUNTA(C$4:C1961))</f>
        <v>1941</v>
      </c>
      <c r="B1961" s="1" t="s">
        <v>3765</v>
      </c>
      <c r="C1961" s="1" t="s">
        <v>3766</v>
      </c>
      <c r="E1961">
        <f t="shared" si="30"/>
        <v>0</v>
      </c>
    </row>
    <row r="1962" spans="1:5">
      <c r="A1962" s="1">
        <f>IF(C1962="","",COUNTA(C$4:C1962))</f>
        <v>1942</v>
      </c>
      <c r="B1962" s="1" t="s">
        <v>3767</v>
      </c>
      <c r="C1962" s="1" t="s">
        <v>3768</v>
      </c>
      <c r="E1962">
        <f t="shared" si="30"/>
        <v>0</v>
      </c>
    </row>
    <row r="1963" spans="1:5">
      <c r="A1963" s="1">
        <f>IF(C1963="","",COUNTA(C$4:C1963))</f>
        <v>1943</v>
      </c>
      <c r="B1963" s="1" t="s">
        <v>3769</v>
      </c>
      <c r="C1963" s="1" t="s">
        <v>3770</v>
      </c>
      <c r="E1963">
        <f t="shared" si="30"/>
        <v>0</v>
      </c>
    </row>
    <row r="1964" spans="1:5">
      <c r="A1964" s="1">
        <f>IF(C1964="","",COUNTA(C$4:C1964))</f>
        <v>1944</v>
      </c>
      <c r="B1964" s="1" t="s">
        <v>3771</v>
      </c>
      <c r="C1964" s="1" t="s">
        <v>3772</v>
      </c>
      <c r="E1964">
        <f t="shared" si="30"/>
        <v>0</v>
      </c>
    </row>
    <row r="1965" spans="1:5">
      <c r="A1965" s="1">
        <f>IF(C1965="","",COUNTA(C$4:C1965))</f>
        <v>1945</v>
      </c>
      <c r="B1965" s="1" t="s">
        <v>3773</v>
      </c>
      <c r="C1965" s="1" t="s">
        <v>3774</v>
      </c>
      <c r="E1965">
        <f t="shared" si="30"/>
        <v>0</v>
      </c>
    </row>
    <row r="1966" spans="1:5">
      <c r="A1966" s="1">
        <f>IF(C1966="","",COUNTA(C$4:C1966))</f>
        <v>1946</v>
      </c>
      <c r="B1966" s="1" t="s">
        <v>3775</v>
      </c>
      <c r="C1966" s="1" t="s">
        <v>3776</v>
      </c>
      <c r="E1966">
        <f t="shared" si="30"/>
        <v>0</v>
      </c>
    </row>
    <row r="1967" spans="1:5">
      <c r="A1967" s="1">
        <f>IF(C1967="","",COUNTA(C$4:C1967))</f>
        <v>1947</v>
      </c>
      <c r="B1967" s="1" t="s">
        <v>3777</v>
      </c>
      <c r="C1967" s="1" t="s">
        <v>3778</v>
      </c>
      <c r="E1967">
        <f t="shared" si="30"/>
        <v>0</v>
      </c>
    </row>
    <row r="1968" spans="1:5">
      <c r="A1968" s="1">
        <f>IF(C1968="","",COUNTA(C$4:C1968))</f>
        <v>1948</v>
      </c>
      <c r="B1968" s="1" t="s">
        <v>3779</v>
      </c>
      <c r="C1968" s="1" t="s">
        <v>3780</v>
      </c>
      <c r="E1968">
        <f t="shared" si="30"/>
        <v>0</v>
      </c>
    </row>
    <row r="1969" spans="1:5">
      <c r="A1969" s="1">
        <f>IF(C1969="","",COUNTA(C$4:C1969))</f>
        <v>1949</v>
      </c>
      <c r="B1969" s="1" t="s">
        <v>3781</v>
      </c>
      <c r="C1969" s="1" t="s">
        <v>3782</v>
      </c>
      <c r="E1969">
        <f t="shared" si="30"/>
        <v>0</v>
      </c>
    </row>
    <row r="1970" spans="1:5">
      <c r="A1970" s="1">
        <f>IF(C1970="","",COUNTA(C$4:C1970))</f>
        <v>1950</v>
      </c>
      <c r="B1970" s="1" t="s">
        <v>3783</v>
      </c>
      <c r="C1970" s="3" t="s">
        <v>3784</v>
      </c>
      <c r="E1970">
        <f t="shared" si="30"/>
        <v>0</v>
      </c>
    </row>
    <row r="1971" spans="1:5">
      <c r="A1971" s="1">
        <f>IF(C1971="","",COUNTA(C$4:C1971))</f>
        <v>1951</v>
      </c>
      <c r="B1971" s="1" t="s">
        <v>3677</v>
      </c>
      <c r="C1971" s="1" t="s">
        <v>3785</v>
      </c>
      <c r="E1971">
        <f t="shared" si="30"/>
        <v>0</v>
      </c>
    </row>
    <row r="1972" spans="1:5">
      <c r="A1972" s="1">
        <f>IF(C1972="","",COUNTA(C$4:C1972))</f>
        <v>1952</v>
      </c>
      <c r="B1972" s="1" t="s">
        <v>3786</v>
      </c>
      <c r="C1972" s="1" t="s">
        <v>3787</v>
      </c>
      <c r="E1972">
        <f t="shared" si="30"/>
        <v>0</v>
      </c>
    </row>
    <row r="1973" spans="1:5">
      <c r="A1973" s="1">
        <f>IF(C1973="","",COUNTA(C$4:C1973))</f>
        <v>1953</v>
      </c>
      <c r="B1973" s="1" t="s">
        <v>3788</v>
      </c>
      <c r="C1973" s="1" t="s">
        <v>3789</v>
      </c>
      <c r="E1973">
        <f t="shared" si="30"/>
        <v>0</v>
      </c>
    </row>
    <row r="1974" spans="1:5">
      <c r="A1974" s="1">
        <f>IF(C1974="","",COUNTA(C$4:C1974))</f>
        <v>1954</v>
      </c>
      <c r="B1974" s="1" t="s">
        <v>3389</v>
      </c>
      <c r="C1974" s="1" t="s">
        <v>3790</v>
      </c>
      <c r="E1974">
        <f t="shared" si="30"/>
        <v>0</v>
      </c>
    </row>
    <row r="1975" spans="1:5">
      <c r="A1975" s="1">
        <f>IF(C1975="","",COUNTA(C$4:C1975))</f>
        <v>1955</v>
      </c>
      <c r="B1975" s="1" t="s">
        <v>3791</v>
      </c>
      <c r="C1975" s="1" t="s">
        <v>3792</v>
      </c>
      <c r="E1975">
        <f t="shared" si="30"/>
        <v>0</v>
      </c>
    </row>
    <row r="1976" spans="1:5">
      <c r="A1976" s="1">
        <f>IF(C1976="","",COUNTA(C$4:C1976))</f>
        <v>1956</v>
      </c>
      <c r="B1976" s="1" t="s">
        <v>3793</v>
      </c>
      <c r="C1976" s="1" t="s">
        <v>3794</v>
      </c>
      <c r="E1976">
        <f t="shared" si="30"/>
        <v>0</v>
      </c>
    </row>
    <row r="1977" spans="1:5">
      <c r="A1977" s="1">
        <f>IF(C1977="","",COUNTA(C$4:C1977))</f>
        <v>1957</v>
      </c>
      <c r="B1977" s="1" t="s">
        <v>3795</v>
      </c>
      <c r="C1977" s="3" t="s">
        <v>3796</v>
      </c>
      <c r="E1977">
        <f t="shared" si="30"/>
        <v>0</v>
      </c>
    </row>
    <row r="1978" spans="1:5">
      <c r="A1978" s="1">
        <f>IF(C1978="","",COUNTA(C$4:C1978))</f>
        <v>1958</v>
      </c>
      <c r="B1978" s="1" t="s">
        <v>3797</v>
      </c>
      <c r="C1978" s="1" t="s">
        <v>3798</v>
      </c>
      <c r="E1978">
        <f t="shared" si="30"/>
        <v>0</v>
      </c>
    </row>
    <row r="1979" spans="1:5">
      <c r="A1979" s="1">
        <f>IF(C1979="","",COUNTA(C$4:C1979))</f>
        <v>1959</v>
      </c>
      <c r="B1979" s="1" t="s">
        <v>3799</v>
      </c>
      <c r="C1979" s="1" t="s">
        <v>3800</v>
      </c>
      <c r="E1979">
        <f t="shared" si="30"/>
        <v>0</v>
      </c>
    </row>
    <row r="1980" spans="1:5">
      <c r="A1980" s="1">
        <f>IF(C1980="","",COUNTA(C$4:C1980))</f>
        <v>1960</v>
      </c>
      <c r="B1980" s="1" t="s">
        <v>3801</v>
      </c>
      <c r="C1980" s="1" t="s">
        <v>3802</v>
      </c>
      <c r="E1980">
        <f t="shared" si="30"/>
        <v>0</v>
      </c>
    </row>
    <row r="1981" spans="1:5">
      <c r="A1981" s="1">
        <f>IF(C1981="","",COUNTA(C$4:C1981))</f>
        <v>1961</v>
      </c>
      <c r="B1981" s="1" t="s">
        <v>3803</v>
      </c>
      <c r="C1981" s="1" t="s">
        <v>3804</v>
      </c>
      <c r="E1981">
        <f t="shared" si="30"/>
        <v>0</v>
      </c>
    </row>
    <row r="1982" spans="1:5">
      <c r="A1982" s="1">
        <f>IF(C1982="","",COUNTA(C$4:C1982))</f>
        <v>1962</v>
      </c>
      <c r="B1982" s="1" t="s">
        <v>3805</v>
      </c>
      <c r="C1982" s="1" t="s">
        <v>3806</v>
      </c>
      <c r="E1982">
        <f t="shared" si="30"/>
        <v>0</v>
      </c>
    </row>
    <row r="1983" spans="1:5">
      <c r="A1983" s="1">
        <f>IF(C1983="","",COUNTA(C$4:C1983))</f>
        <v>1963</v>
      </c>
      <c r="B1983" s="1" t="s">
        <v>3807</v>
      </c>
      <c r="C1983" s="3" t="s">
        <v>3808</v>
      </c>
      <c r="E1983">
        <f t="shared" si="30"/>
        <v>0</v>
      </c>
    </row>
    <row r="1984" spans="1:5">
      <c r="A1984" s="1">
        <f>IF(C1984="","",COUNTA(C$4:C1984))</f>
        <v>1964</v>
      </c>
      <c r="B1984" s="1" t="s">
        <v>3809</v>
      </c>
      <c r="C1984" s="1" t="s">
        <v>3810</v>
      </c>
      <c r="E1984">
        <f t="shared" si="30"/>
        <v>0</v>
      </c>
    </row>
    <row r="1985" spans="1:5">
      <c r="A1985" s="1">
        <f>IF(C1985="","",COUNTA(C$4:C1985))</f>
        <v>1965</v>
      </c>
      <c r="B1985" s="1" t="s">
        <v>3811</v>
      </c>
      <c r="C1985" s="1" t="s">
        <v>3812</v>
      </c>
      <c r="E1985">
        <f t="shared" si="30"/>
        <v>0</v>
      </c>
    </row>
    <row r="1986" spans="1:5">
      <c r="A1986" s="1">
        <f>IF(C1986="","",COUNTA(C$4:C1986))</f>
        <v>1966</v>
      </c>
      <c r="B1986" s="1" t="s">
        <v>3813</v>
      </c>
      <c r="C1986" s="1" t="s">
        <v>3814</v>
      </c>
      <c r="E1986">
        <f t="shared" si="30"/>
        <v>0</v>
      </c>
    </row>
    <row r="1987" spans="1:5">
      <c r="A1987" s="1">
        <f>IF(C1987="","",COUNTA(C$4:C1987))</f>
        <v>1967</v>
      </c>
      <c r="B1987" s="1" t="s">
        <v>3815</v>
      </c>
      <c r="C1987" s="1" t="s">
        <v>3816</v>
      </c>
      <c r="E1987">
        <f t="shared" si="30"/>
        <v>0</v>
      </c>
    </row>
    <row r="1988" spans="1:5">
      <c r="A1988" s="1">
        <f>IF(C1988="","",COUNTA(C$4:C1988))</f>
        <v>1968</v>
      </c>
      <c r="B1988" s="1" t="s">
        <v>3618</v>
      </c>
      <c r="C1988" s="1" t="s">
        <v>3817</v>
      </c>
      <c r="E1988">
        <f t="shared" si="30"/>
        <v>0</v>
      </c>
    </row>
    <row r="1989" spans="1:5">
      <c r="A1989" s="1">
        <f>IF(C1989="","",COUNTA(C$4:C1989))</f>
        <v>1969</v>
      </c>
      <c r="B1989" s="1" t="s">
        <v>3818</v>
      </c>
      <c r="C1989" s="1" t="s">
        <v>3819</v>
      </c>
      <c r="E1989">
        <f t="shared" ref="E1989:E2052" si="31">IF(C1989=D1989,1,0)</f>
        <v>0</v>
      </c>
    </row>
    <row r="1990" spans="1:5">
      <c r="A1990" s="1">
        <f>IF(C1990="","",COUNTA(C$4:C1990))</f>
        <v>1970</v>
      </c>
      <c r="B1990" s="1" t="s">
        <v>3820</v>
      </c>
      <c r="C1990" s="1" t="s">
        <v>3821</v>
      </c>
      <c r="E1990">
        <f t="shared" si="31"/>
        <v>0</v>
      </c>
    </row>
    <row r="1991" spans="1:5">
      <c r="A1991" s="1">
        <f>IF(C1991="","",COUNTA(C$4:C1991))</f>
        <v>1971</v>
      </c>
      <c r="B1991" s="1" t="s">
        <v>3822</v>
      </c>
      <c r="C1991" s="1" t="s">
        <v>3823</v>
      </c>
      <c r="E1991">
        <f t="shared" si="31"/>
        <v>0</v>
      </c>
    </row>
    <row r="1992" spans="1:5">
      <c r="A1992" s="1">
        <f>IF(C1992="","",COUNTA(C$4:C1992))</f>
        <v>1972</v>
      </c>
      <c r="B1992" s="1" t="s">
        <v>3824</v>
      </c>
      <c r="C1992" s="1" t="s">
        <v>3825</v>
      </c>
      <c r="E1992">
        <f t="shared" si="31"/>
        <v>0</v>
      </c>
    </row>
    <row r="1993" spans="1:5">
      <c r="A1993" s="1">
        <f>IF(C1993="","",COUNTA(C$4:C1993))</f>
        <v>1973</v>
      </c>
      <c r="B1993" s="1" t="s">
        <v>3826</v>
      </c>
      <c r="C1993" s="1" t="s">
        <v>3827</v>
      </c>
      <c r="E1993">
        <f t="shared" si="31"/>
        <v>0</v>
      </c>
    </row>
    <row r="1994" spans="1:5">
      <c r="A1994" s="1">
        <f>IF(C1994="","",COUNTA(C$4:C1994))</f>
        <v>1974</v>
      </c>
      <c r="B1994" s="1" t="s">
        <v>3828</v>
      </c>
      <c r="C1994" s="1" t="s">
        <v>3829</v>
      </c>
      <c r="E1994">
        <f t="shared" si="31"/>
        <v>0</v>
      </c>
    </row>
    <row r="1995" spans="1:5">
      <c r="A1995" s="1">
        <f>IF(C1995="","",COUNTA(C$4:C1995))</f>
        <v>1975</v>
      </c>
      <c r="B1995" s="1" t="s">
        <v>3830</v>
      </c>
      <c r="C1995" s="1" t="s">
        <v>3831</v>
      </c>
      <c r="E1995">
        <f t="shared" si="31"/>
        <v>0</v>
      </c>
    </row>
    <row r="1996" spans="1:5">
      <c r="A1996" s="1">
        <f>IF(C1996="","",COUNTA(C$4:C1996))</f>
        <v>1976</v>
      </c>
      <c r="B1996" s="1" t="s">
        <v>3832</v>
      </c>
      <c r="C1996" s="1" t="s">
        <v>3833</v>
      </c>
      <c r="E1996">
        <f t="shared" si="31"/>
        <v>0</v>
      </c>
    </row>
    <row r="1997" spans="1:5">
      <c r="A1997" s="1">
        <f>IF(C1997="","",COUNTA(C$4:C1997))</f>
        <v>1977</v>
      </c>
      <c r="B1997" s="1" t="s">
        <v>3834</v>
      </c>
      <c r="C1997" s="1" t="s">
        <v>3835</v>
      </c>
      <c r="E1997">
        <f t="shared" si="31"/>
        <v>0</v>
      </c>
    </row>
    <row r="1998" spans="1:5">
      <c r="A1998" s="1">
        <f>IF(C1998="","",COUNTA(C$4:C1998))</f>
        <v>1978</v>
      </c>
      <c r="B1998" s="1" t="s">
        <v>3836</v>
      </c>
      <c r="C1998" s="1" t="s">
        <v>3837</v>
      </c>
      <c r="E1998">
        <f t="shared" si="31"/>
        <v>0</v>
      </c>
    </row>
    <row r="1999" spans="1:5">
      <c r="A1999" s="1">
        <f>IF(C1999="","",COUNTA(C$4:C1999))</f>
        <v>1979</v>
      </c>
      <c r="B1999" s="1" t="s">
        <v>3838</v>
      </c>
      <c r="C1999" s="1" t="s">
        <v>3839</v>
      </c>
      <c r="E1999">
        <f t="shared" si="31"/>
        <v>0</v>
      </c>
    </row>
    <row r="2000" spans="1:5">
      <c r="A2000" s="1">
        <f>IF(C2000="","",COUNTA(C$4:C2000))</f>
        <v>1980</v>
      </c>
      <c r="B2000" s="1" t="s">
        <v>3840</v>
      </c>
      <c r="C2000" s="1" t="s">
        <v>3841</v>
      </c>
      <c r="E2000">
        <f t="shared" si="31"/>
        <v>0</v>
      </c>
    </row>
    <row r="2001" spans="1:5">
      <c r="A2001" s="1">
        <f>IF(C2001="","",COUNTA(C$4:C2001))</f>
        <v>1981</v>
      </c>
      <c r="B2001" s="1" t="s">
        <v>3842</v>
      </c>
      <c r="C2001" s="1" t="s">
        <v>3843</v>
      </c>
      <c r="E2001">
        <f t="shared" si="31"/>
        <v>0</v>
      </c>
    </row>
    <row r="2002" spans="1:5">
      <c r="A2002" s="1">
        <f>IF(C2002="","",COUNTA(C$4:C2002))</f>
        <v>1982</v>
      </c>
      <c r="B2002" s="1" t="s">
        <v>3844</v>
      </c>
      <c r="C2002" s="1" t="s">
        <v>3845</v>
      </c>
      <c r="E2002">
        <f t="shared" si="31"/>
        <v>0</v>
      </c>
    </row>
    <row r="2003" spans="1:5">
      <c r="A2003" s="1">
        <f>IF(C2003="","",COUNTA(C$4:C2003))</f>
        <v>1983</v>
      </c>
      <c r="B2003" s="1" t="s">
        <v>3846</v>
      </c>
      <c r="C2003" s="1" t="s">
        <v>3847</v>
      </c>
      <c r="E2003">
        <f t="shared" si="31"/>
        <v>0</v>
      </c>
    </row>
    <row r="2004" spans="1:5">
      <c r="A2004" s="1">
        <f>IF(C2004="","",COUNTA(C$4:C2004))</f>
        <v>1984</v>
      </c>
      <c r="B2004" s="1" t="s">
        <v>3848</v>
      </c>
      <c r="C2004" s="1" t="s">
        <v>3849</v>
      </c>
      <c r="E2004">
        <f t="shared" si="31"/>
        <v>0</v>
      </c>
    </row>
    <row r="2005" spans="1:5">
      <c r="A2005" s="1">
        <f>IF(C2005="","",COUNTA(C$4:C2005))</f>
        <v>1985</v>
      </c>
      <c r="B2005" s="1" t="s">
        <v>3850</v>
      </c>
      <c r="C2005" s="1" t="s">
        <v>3851</v>
      </c>
      <c r="E2005">
        <f t="shared" si="31"/>
        <v>0</v>
      </c>
    </row>
    <row r="2006" spans="1:5">
      <c r="A2006" s="1">
        <f>IF(C2006="","",COUNTA(C$4:C2006))</f>
        <v>1986</v>
      </c>
      <c r="B2006" s="1" t="s">
        <v>3852</v>
      </c>
      <c r="C2006" s="3" t="s">
        <v>3853</v>
      </c>
      <c r="E2006">
        <f t="shared" si="31"/>
        <v>0</v>
      </c>
    </row>
    <row r="2007" spans="1:5">
      <c r="A2007" s="1">
        <f>IF(C2007="","",COUNTA(C$4:C2007))</f>
        <v>1987</v>
      </c>
      <c r="B2007" s="1" t="s">
        <v>3854</v>
      </c>
      <c r="C2007" s="1" t="s">
        <v>3855</v>
      </c>
      <c r="E2007">
        <f t="shared" si="31"/>
        <v>0</v>
      </c>
    </row>
    <row r="2008" spans="1:5">
      <c r="A2008" s="1">
        <f>IF(C2008="","",COUNTA(C$4:C2008))</f>
        <v>1988</v>
      </c>
      <c r="B2008" s="1" t="s">
        <v>3854</v>
      </c>
      <c r="C2008" s="1" t="s">
        <v>3856</v>
      </c>
      <c r="E2008">
        <f t="shared" si="31"/>
        <v>0</v>
      </c>
    </row>
    <row r="2009" spans="1:5">
      <c r="A2009" s="1">
        <f>IF(C2009="","",COUNTA(C$4:C2009))</f>
        <v>1989</v>
      </c>
      <c r="B2009" s="1" t="s">
        <v>3857</v>
      </c>
      <c r="C2009" s="1" t="s">
        <v>3858</v>
      </c>
      <c r="E2009">
        <f t="shared" si="31"/>
        <v>0</v>
      </c>
    </row>
    <row r="2010" spans="1:5">
      <c r="A2010" s="1">
        <f>IF(C2010="","",COUNTA(C$4:C2010))</f>
        <v>1990</v>
      </c>
      <c r="B2010" s="1" t="s">
        <v>3859</v>
      </c>
      <c r="C2010" s="3" t="s">
        <v>3860</v>
      </c>
      <c r="E2010">
        <f t="shared" si="31"/>
        <v>0</v>
      </c>
    </row>
    <row r="2011" spans="1:5">
      <c r="A2011" s="1">
        <f>IF(C2011="","",COUNTA(C$4:C2011))</f>
        <v>1991</v>
      </c>
      <c r="B2011" s="1" t="s">
        <v>3861</v>
      </c>
      <c r="C2011" s="1" t="s">
        <v>3862</v>
      </c>
      <c r="E2011">
        <f t="shared" si="31"/>
        <v>0</v>
      </c>
    </row>
    <row r="2012" spans="1:5">
      <c r="A2012" s="1">
        <f>IF(C2012="","",COUNTA(C$4:C2012))</f>
        <v>1992</v>
      </c>
      <c r="B2012" s="1" t="s">
        <v>3863</v>
      </c>
      <c r="C2012" s="1" t="s">
        <v>3864</v>
      </c>
      <c r="E2012">
        <f t="shared" si="31"/>
        <v>0</v>
      </c>
    </row>
    <row r="2013" spans="1:5">
      <c r="A2013" s="1">
        <f>IF(C2013="","",COUNTA(C$4:C2013))</f>
        <v>1993</v>
      </c>
      <c r="B2013" s="1" t="s">
        <v>3865</v>
      </c>
      <c r="C2013" s="1" t="s">
        <v>3866</v>
      </c>
      <c r="E2013">
        <f t="shared" si="31"/>
        <v>0</v>
      </c>
    </row>
    <row r="2014" spans="1:5">
      <c r="A2014" s="1">
        <f>IF(C2014="","",COUNTA(C$4:C2014))</f>
        <v>1994</v>
      </c>
      <c r="B2014" s="1" t="s">
        <v>3867</v>
      </c>
      <c r="C2014" s="1" t="s">
        <v>3868</v>
      </c>
      <c r="E2014">
        <f t="shared" si="31"/>
        <v>0</v>
      </c>
    </row>
    <row r="2015" spans="1:5">
      <c r="A2015" s="1">
        <f>IF(C2015="","",COUNTA(C$4:C2015))</f>
        <v>1995</v>
      </c>
      <c r="B2015" s="1" t="s">
        <v>3869</v>
      </c>
      <c r="C2015" s="1" t="s">
        <v>3870</v>
      </c>
      <c r="E2015">
        <f t="shared" si="31"/>
        <v>0</v>
      </c>
    </row>
    <row r="2016" spans="1:5">
      <c r="A2016" s="1">
        <f>IF(C2016="","",COUNTA(C$4:C2016))</f>
        <v>1996</v>
      </c>
      <c r="B2016" s="1" t="s">
        <v>3871</v>
      </c>
      <c r="C2016" s="1" t="s">
        <v>3872</v>
      </c>
      <c r="E2016">
        <f t="shared" si="31"/>
        <v>0</v>
      </c>
    </row>
    <row r="2017" spans="1:5">
      <c r="A2017" s="1">
        <f>IF(C2017="","",COUNTA(C$4:C2017))</f>
        <v>1997</v>
      </c>
      <c r="B2017" s="1" t="s">
        <v>3873</v>
      </c>
      <c r="C2017" s="1" t="s">
        <v>3874</v>
      </c>
      <c r="E2017">
        <f t="shared" si="31"/>
        <v>0</v>
      </c>
    </row>
    <row r="2018" spans="1:5">
      <c r="A2018" s="1">
        <f>IF(C2018="","",COUNTA(C$4:C2018))</f>
        <v>1998</v>
      </c>
      <c r="B2018" s="1" t="s">
        <v>3875</v>
      </c>
      <c r="C2018" s="1" t="s">
        <v>3876</v>
      </c>
      <c r="E2018">
        <f t="shared" si="31"/>
        <v>0</v>
      </c>
    </row>
    <row r="2019" spans="1:5">
      <c r="A2019" s="1">
        <f>IF(C2019="","",COUNTA(C$4:C2019))</f>
        <v>1999</v>
      </c>
      <c r="B2019" s="1" t="s">
        <v>3877</v>
      </c>
      <c r="C2019" s="1" t="s">
        <v>3878</v>
      </c>
      <c r="E2019">
        <f t="shared" si="31"/>
        <v>0</v>
      </c>
    </row>
    <row r="2020" spans="1:5">
      <c r="A2020" s="1">
        <f>IF(C2020="","",COUNTA(C$4:C2020))</f>
        <v>2000</v>
      </c>
      <c r="B2020" s="1" t="s">
        <v>3879</v>
      </c>
      <c r="C2020" s="1" t="s">
        <v>3880</v>
      </c>
      <c r="E2020">
        <f t="shared" si="31"/>
        <v>0</v>
      </c>
    </row>
    <row r="2021" spans="1:5">
      <c r="A2021" s="1">
        <f>IF(C2021="","",COUNTA(C$4:C2021))</f>
        <v>2001</v>
      </c>
      <c r="B2021" s="1" t="s">
        <v>3881</v>
      </c>
      <c r="C2021" s="1" t="s">
        <v>3882</v>
      </c>
      <c r="E2021">
        <f t="shared" si="31"/>
        <v>0</v>
      </c>
    </row>
    <row r="2022" spans="1:5">
      <c r="A2022" s="1">
        <f>IF(C2022="","",COUNTA(C$4:C2022))</f>
        <v>2002</v>
      </c>
      <c r="B2022" s="1" t="s">
        <v>3883</v>
      </c>
      <c r="C2022" s="1" t="s">
        <v>3884</v>
      </c>
      <c r="E2022">
        <f t="shared" si="31"/>
        <v>0</v>
      </c>
    </row>
    <row r="2023" spans="1:5">
      <c r="A2023" s="1">
        <f>IF(C2023="","",COUNTA(C$4:C2023))</f>
        <v>2003</v>
      </c>
      <c r="B2023" s="1" t="s">
        <v>3693</v>
      </c>
      <c r="C2023" s="1" t="s">
        <v>3885</v>
      </c>
      <c r="E2023">
        <f t="shared" si="31"/>
        <v>0</v>
      </c>
    </row>
    <row r="2024" spans="1:5">
      <c r="A2024" s="1">
        <f>IF(C2024="","",COUNTA(C$4:C2024))</f>
        <v>2004</v>
      </c>
      <c r="B2024" s="1" t="s">
        <v>3886</v>
      </c>
      <c r="C2024" s="1" t="s">
        <v>3887</v>
      </c>
      <c r="E2024">
        <f t="shared" si="31"/>
        <v>0</v>
      </c>
    </row>
    <row r="2025" spans="1:5">
      <c r="A2025" s="1">
        <f>IF(C2025="","",COUNTA(C$4:C2025))</f>
        <v>2005</v>
      </c>
      <c r="B2025" s="1" t="s">
        <v>3888</v>
      </c>
      <c r="C2025" s="1" t="s">
        <v>3889</v>
      </c>
      <c r="E2025">
        <f t="shared" si="31"/>
        <v>0</v>
      </c>
    </row>
    <row r="2026" spans="1:5">
      <c r="A2026" s="1">
        <f>IF(C2026="","",COUNTA(C$4:C2026))</f>
        <v>2006</v>
      </c>
      <c r="B2026" s="1" t="s">
        <v>3886</v>
      </c>
      <c r="C2026" s="1" t="s">
        <v>3890</v>
      </c>
      <c r="E2026">
        <f t="shared" si="31"/>
        <v>0</v>
      </c>
    </row>
    <row r="2027" spans="1:5">
      <c r="A2027" s="1">
        <f>IF(C2027="","",COUNTA(C$4:C2027))</f>
        <v>2007</v>
      </c>
      <c r="B2027" s="1" t="s">
        <v>3891</v>
      </c>
      <c r="C2027" s="1" t="s">
        <v>3892</v>
      </c>
      <c r="E2027">
        <f t="shared" si="31"/>
        <v>0</v>
      </c>
    </row>
    <row r="2028" spans="1:5">
      <c r="A2028" s="1">
        <f>IF(C2028="","",COUNTA(C$4:C2028))</f>
        <v>2008</v>
      </c>
      <c r="B2028" s="1" t="s">
        <v>3893</v>
      </c>
      <c r="C2028" s="1" t="s">
        <v>3894</v>
      </c>
      <c r="E2028">
        <f t="shared" si="31"/>
        <v>0</v>
      </c>
    </row>
    <row r="2029" spans="1:5">
      <c r="A2029" s="1">
        <f>IF(C2029="","",COUNTA(C$4:C2029))</f>
        <v>2009</v>
      </c>
      <c r="B2029" s="1" t="s">
        <v>3895</v>
      </c>
      <c r="C2029" s="1" t="s">
        <v>3896</v>
      </c>
      <c r="E2029">
        <f t="shared" si="31"/>
        <v>0</v>
      </c>
    </row>
    <row r="2030" spans="1:5">
      <c r="A2030" s="1">
        <f>IF(C2030="","",COUNTA(C$4:C2030))</f>
        <v>2010</v>
      </c>
      <c r="B2030" s="1" t="s">
        <v>3897</v>
      </c>
      <c r="C2030" s="1" t="s">
        <v>3898</v>
      </c>
      <c r="E2030">
        <f t="shared" si="31"/>
        <v>0</v>
      </c>
    </row>
    <row r="2031" spans="1:5">
      <c r="A2031" s="1">
        <f>IF(C2031="","",COUNTA(C$4:C2031))</f>
        <v>2011</v>
      </c>
      <c r="B2031" s="1" t="s">
        <v>3899</v>
      </c>
      <c r="C2031" s="1" t="s">
        <v>3900</v>
      </c>
      <c r="E2031">
        <f t="shared" si="31"/>
        <v>0</v>
      </c>
    </row>
    <row r="2032" spans="1:5">
      <c r="A2032" s="1">
        <f>IF(C2032="","",COUNTA(C$4:C2032))</f>
        <v>2012</v>
      </c>
      <c r="B2032" s="1" t="s">
        <v>3901</v>
      </c>
      <c r="C2032" s="1" t="s">
        <v>3902</v>
      </c>
      <c r="E2032">
        <f t="shared" si="31"/>
        <v>0</v>
      </c>
    </row>
    <row r="2033" spans="1:5">
      <c r="A2033" s="1">
        <f>IF(C2033="","",COUNTA(C$4:C2033))</f>
        <v>2013</v>
      </c>
      <c r="B2033" s="1" t="s">
        <v>3903</v>
      </c>
      <c r="C2033" s="1" t="s">
        <v>3904</v>
      </c>
      <c r="E2033">
        <f t="shared" si="31"/>
        <v>0</v>
      </c>
    </row>
    <row r="2034" spans="1:5">
      <c r="A2034" s="1">
        <f>IF(C2034="","",COUNTA(C$4:C2034))</f>
        <v>2014</v>
      </c>
      <c r="B2034" s="1" t="s">
        <v>3905</v>
      </c>
      <c r="C2034" s="1" t="s">
        <v>3906</v>
      </c>
      <c r="E2034">
        <f t="shared" si="31"/>
        <v>0</v>
      </c>
    </row>
    <row r="2035" spans="1:5">
      <c r="A2035" s="1">
        <f>IF(C2035="","",COUNTA(C$4:C2035))</f>
        <v>2015</v>
      </c>
      <c r="B2035" s="1" t="s">
        <v>3907</v>
      </c>
      <c r="C2035" s="1" t="s">
        <v>3908</v>
      </c>
      <c r="E2035">
        <f t="shared" si="31"/>
        <v>0</v>
      </c>
    </row>
    <row r="2036" spans="1:5">
      <c r="A2036" s="1">
        <f>IF(C2036="","",COUNTA(C$4:C2036))</f>
        <v>2016</v>
      </c>
      <c r="B2036" s="1" t="s">
        <v>3909</v>
      </c>
      <c r="C2036" s="1" t="s">
        <v>3910</v>
      </c>
      <c r="E2036">
        <f t="shared" si="31"/>
        <v>0</v>
      </c>
    </row>
    <row r="2037" spans="1:5">
      <c r="A2037" s="1">
        <f>IF(C2037="","",COUNTA(C$4:C2037))</f>
        <v>2017</v>
      </c>
      <c r="B2037" s="1" t="s">
        <v>3911</v>
      </c>
      <c r="C2037" s="1" t="s">
        <v>3912</v>
      </c>
      <c r="E2037">
        <f t="shared" si="31"/>
        <v>0</v>
      </c>
    </row>
    <row r="2038" spans="1:5">
      <c r="A2038" s="1">
        <f>IF(C2038="","",COUNTA(C$4:C2038))</f>
        <v>2018</v>
      </c>
      <c r="B2038" s="1" t="s">
        <v>3913</v>
      </c>
      <c r="C2038" s="1" t="s">
        <v>3914</v>
      </c>
      <c r="E2038">
        <f t="shared" si="31"/>
        <v>0</v>
      </c>
    </row>
    <row r="2039" spans="1:5">
      <c r="A2039" s="1">
        <f>IF(C2039="","",COUNTA(C$4:C2039))</f>
        <v>2019</v>
      </c>
      <c r="B2039" s="1" t="s">
        <v>3915</v>
      </c>
      <c r="C2039" s="1" t="s">
        <v>3916</v>
      </c>
      <c r="E2039">
        <f t="shared" si="31"/>
        <v>0</v>
      </c>
    </row>
    <row r="2040" spans="1:5">
      <c r="A2040" s="1">
        <f>IF(C2040="","",COUNTA(C$4:C2040))</f>
        <v>2020</v>
      </c>
      <c r="B2040" s="1" t="s">
        <v>3917</v>
      </c>
      <c r="C2040" s="1" t="s">
        <v>3918</v>
      </c>
      <c r="E2040">
        <f t="shared" si="31"/>
        <v>0</v>
      </c>
    </row>
    <row r="2041" spans="1:5">
      <c r="A2041" s="1">
        <f>IF(C2041="","",COUNTA(C$4:C2041))</f>
        <v>2021</v>
      </c>
      <c r="B2041" s="1" t="s">
        <v>3919</v>
      </c>
      <c r="C2041" s="1" t="s">
        <v>3920</v>
      </c>
      <c r="E2041">
        <f t="shared" si="31"/>
        <v>0</v>
      </c>
    </row>
    <row r="2042" spans="1:5">
      <c r="A2042" s="1">
        <f>IF(C2042="","",COUNTA(C$4:C2042))</f>
        <v>2022</v>
      </c>
      <c r="B2042" s="1" t="s">
        <v>3921</v>
      </c>
      <c r="C2042" s="1" t="s">
        <v>3922</v>
      </c>
      <c r="E2042">
        <f t="shared" si="31"/>
        <v>0</v>
      </c>
    </row>
    <row r="2043" spans="1:5">
      <c r="A2043" s="1">
        <f>IF(C2043="","",COUNTA(C$4:C2043))</f>
        <v>2023</v>
      </c>
      <c r="B2043" s="1" t="s">
        <v>3923</v>
      </c>
      <c r="C2043" s="1" t="s">
        <v>3924</v>
      </c>
      <c r="E2043">
        <f t="shared" si="31"/>
        <v>0</v>
      </c>
    </row>
    <row r="2044" spans="1:5">
      <c r="A2044" s="1">
        <f>IF(C2044="","",COUNTA(C$4:C2044))</f>
        <v>2024</v>
      </c>
      <c r="B2044" s="1" t="s">
        <v>3925</v>
      </c>
      <c r="C2044" s="1" t="s">
        <v>3926</v>
      </c>
      <c r="E2044">
        <f t="shared" si="31"/>
        <v>0</v>
      </c>
    </row>
    <row r="2045" spans="1:5">
      <c r="A2045" s="1">
        <f>IF(C2045="","",COUNTA(C$4:C2045))</f>
        <v>2025</v>
      </c>
      <c r="B2045" s="1" t="s">
        <v>3927</v>
      </c>
      <c r="C2045" s="1" t="s">
        <v>3928</v>
      </c>
      <c r="E2045">
        <f t="shared" si="31"/>
        <v>0</v>
      </c>
    </row>
    <row r="2046" spans="1:5">
      <c r="A2046" s="12" t="s">
        <v>3929</v>
      </c>
      <c r="B2046" s="13"/>
      <c r="C2046" s="14"/>
      <c r="D2046" s="9"/>
      <c r="E2046">
        <f t="shared" si="31"/>
        <v>1</v>
      </c>
    </row>
    <row r="2047" spans="1:5">
      <c r="A2047" s="1">
        <f>IF(C2047="","",COUNTA(C$4:C2047))</f>
        <v>2026</v>
      </c>
      <c r="B2047" s="1" t="s">
        <v>3930</v>
      </c>
      <c r="C2047" s="1" t="s">
        <v>3931</v>
      </c>
      <c r="E2047">
        <f t="shared" si="31"/>
        <v>0</v>
      </c>
    </row>
    <row r="2048" spans="1:5">
      <c r="A2048" s="1">
        <f>IF(C2048="","",COUNTA(C$4:C2048))</f>
        <v>2027</v>
      </c>
      <c r="B2048" s="1" t="s">
        <v>3932</v>
      </c>
      <c r="C2048" s="3" t="s">
        <v>3933</v>
      </c>
      <c r="E2048">
        <f t="shared" si="31"/>
        <v>0</v>
      </c>
    </row>
    <row r="2049" spans="1:5">
      <c r="A2049" s="1">
        <f>IF(C2049="","",COUNTA(C$4:C2049))</f>
        <v>2028</v>
      </c>
      <c r="B2049" s="1" t="s">
        <v>3934</v>
      </c>
      <c r="C2049" s="1" t="s">
        <v>3935</v>
      </c>
      <c r="E2049">
        <f t="shared" si="31"/>
        <v>0</v>
      </c>
    </row>
    <row r="2050" spans="1:5">
      <c r="A2050" s="1">
        <f>IF(C2050="","",COUNTA(C$4:C2050))</f>
        <v>2029</v>
      </c>
      <c r="B2050" s="1" t="s">
        <v>3440</v>
      </c>
      <c r="C2050" s="1" t="s">
        <v>3936</v>
      </c>
      <c r="E2050">
        <f t="shared" si="31"/>
        <v>0</v>
      </c>
    </row>
    <row r="2051" spans="1:5">
      <c r="A2051" s="1">
        <f>IF(C2051="","",COUNTA(C$4:C2051))</f>
        <v>2030</v>
      </c>
      <c r="B2051" s="1" t="s">
        <v>3937</v>
      </c>
      <c r="C2051" s="1" t="s">
        <v>3938</v>
      </c>
      <c r="E2051">
        <f t="shared" si="31"/>
        <v>0</v>
      </c>
    </row>
    <row r="2052" spans="1:5">
      <c r="A2052" s="1">
        <f>IF(C2052="","",COUNTA(C$4:C2052))</f>
        <v>2031</v>
      </c>
      <c r="B2052" s="1" t="s">
        <v>3939</v>
      </c>
      <c r="C2052" s="1" t="s">
        <v>3940</v>
      </c>
      <c r="E2052">
        <f t="shared" si="31"/>
        <v>0</v>
      </c>
    </row>
    <row r="2053" spans="1:5">
      <c r="A2053" s="1">
        <f>IF(C2053="","",COUNTA(C$4:C2053))</f>
        <v>2032</v>
      </c>
      <c r="B2053" s="1" t="s">
        <v>3941</v>
      </c>
      <c r="C2053" s="1" t="s">
        <v>3942</v>
      </c>
      <c r="E2053">
        <f t="shared" ref="E2053:E2116" si="32">IF(C2053=D2053,1,0)</f>
        <v>0</v>
      </c>
    </row>
    <row r="2054" spans="1:5">
      <c r="A2054" s="1">
        <f>IF(C2054="","",COUNTA(C$4:C2054))</f>
        <v>2033</v>
      </c>
      <c r="B2054" s="1" t="s">
        <v>3939</v>
      </c>
      <c r="C2054" s="1" t="s">
        <v>3943</v>
      </c>
      <c r="E2054">
        <f t="shared" si="32"/>
        <v>0</v>
      </c>
    </row>
    <row r="2055" spans="1:5">
      <c r="A2055" s="1">
        <f>IF(C2055="","",COUNTA(C$4:C2055))</f>
        <v>2034</v>
      </c>
      <c r="B2055" s="1" t="s">
        <v>3944</v>
      </c>
      <c r="C2055" s="1" t="s">
        <v>3945</v>
      </c>
      <c r="E2055">
        <f t="shared" si="32"/>
        <v>0</v>
      </c>
    </row>
    <row r="2056" spans="1:5">
      <c r="A2056" s="1">
        <f>IF(C2056="","",COUNTA(C$4:C2056))</f>
        <v>2035</v>
      </c>
      <c r="B2056" s="1" t="s">
        <v>3946</v>
      </c>
      <c r="C2056" s="1" t="s">
        <v>3947</v>
      </c>
      <c r="E2056">
        <f t="shared" si="32"/>
        <v>0</v>
      </c>
    </row>
    <row r="2057" spans="1:5">
      <c r="A2057" s="1">
        <f>IF(C2057="","",COUNTA(C$4:C2057))</f>
        <v>2036</v>
      </c>
      <c r="B2057" s="1" t="s">
        <v>3948</v>
      </c>
      <c r="C2057" s="1" t="s">
        <v>3949</v>
      </c>
      <c r="E2057">
        <f t="shared" si="32"/>
        <v>0</v>
      </c>
    </row>
    <row r="2058" spans="1:5">
      <c r="A2058" s="1">
        <f>IF(C2058="","",COUNTA(C$4:C2058))</f>
        <v>2037</v>
      </c>
      <c r="B2058" s="1" t="s">
        <v>3950</v>
      </c>
      <c r="C2058" s="1" t="s">
        <v>3951</v>
      </c>
      <c r="E2058">
        <f t="shared" si="32"/>
        <v>0</v>
      </c>
    </row>
    <row r="2059" spans="1:5">
      <c r="A2059" s="1">
        <f>IF(C2059="","",COUNTA(C$4:C2059))</f>
        <v>2038</v>
      </c>
      <c r="B2059" s="1" t="s">
        <v>3952</v>
      </c>
      <c r="C2059" s="1" t="s">
        <v>3953</v>
      </c>
      <c r="E2059">
        <f t="shared" si="32"/>
        <v>0</v>
      </c>
    </row>
    <row r="2060" spans="1:5">
      <c r="A2060" s="1">
        <f>IF(C2060="","",COUNTA(C$4:C2060))</f>
        <v>2039</v>
      </c>
      <c r="B2060" s="1" t="s">
        <v>3954</v>
      </c>
      <c r="C2060" s="1" t="s">
        <v>3955</v>
      </c>
      <c r="E2060">
        <f t="shared" si="32"/>
        <v>0</v>
      </c>
    </row>
    <row r="2061" spans="1:5">
      <c r="A2061" s="1">
        <f>IF(C2061="","",COUNTA(C$4:C2061))</f>
        <v>2040</v>
      </c>
      <c r="B2061" s="1" t="s">
        <v>3956</v>
      </c>
      <c r="C2061" s="1" t="s">
        <v>3957</v>
      </c>
      <c r="E2061">
        <f t="shared" si="32"/>
        <v>0</v>
      </c>
    </row>
    <row r="2062" spans="1:5">
      <c r="A2062" s="1">
        <f>IF(C2062="","",COUNTA(C$4:C2062))</f>
        <v>2041</v>
      </c>
      <c r="B2062" s="1" t="s">
        <v>3958</v>
      </c>
      <c r="C2062" s="1" t="s">
        <v>3959</v>
      </c>
      <c r="E2062">
        <f t="shared" si="32"/>
        <v>0</v>
      </c>
    </row>
    <row r="2063" spans="1:5">
      <c r="A2063" s="1">
        <f>IF(C2063="","",COUNTA(C$4:C2063))</f>
        <v>2042</v>
      </c>
      <c r="B2063" s="1" t="s">
        <v>3960</v>
      </c>
      <c r="C2063" s="1" t="s">
        <v>3961</v>
      </c>
      <c r="E2063">
        <f t="shared" si="32"/>
        <v>0</v>
      </c>
    </row>
    <row r="2064" spans="1:5">
      <c r="A2064" s="1">
        <f>IF(C2064="","",COUNTA(C$4:C2064))</f>
        <v>2043</v>
      </c>
      <c r="B2064" s="1" t="s">
        <v>2914</v>
      </c>
      <c r="C2064" s="1" t="s">
        <v>3962</v>
      </c>
      <c r="E2064">
        <f t="shared" si="32"/>
        <v>0</v>
      </c>
    </row>
    <row r="2065" spans="1:5">
      <c r="A2065" s="1">
        <f>IF(C2065="","",COUNTA(C$4:C2065))</f>
        <v>2044</v>
      </c>
      <c r="B2065" s="1" t="s">
        <v>3963</v>
      </c>
      <c r="C2065" s="1" t="s">
        <v>3964</v>
      </c>
      <c r="E2065">
        <f t="shared" si="32"/>
        <v>0</v>
      </c>
    </row>
    <row r="2066" spans="1:5">
      <c r="A2066" s="1">
        <f>IF(C2066="","",COUNTA(C$4:C2066))</f>
        <v>2045</v>
      </c>
      <c r="B2066" s="1" t="s">
        <v>3965</v>
      </c>
      <c r="C2066" s="1" t="s">
        <v>3966</v>
      </c>
      <c r="E2066">
        <f t="shared" si="32"/>
        <v>0</v>
      </c>
    </row>
    <row r="2067" spans="1:5">
      <c r="A2067" s="1">
        <f>IF(C2067="","",COUNTA(C$4:C2067))</f>
        <v>2046</v>
      </c>
      <c r="B2067" s="1" t="s">
        <v>3967</v>
      </c>
      <c r="C2067" s="1" t="s">
        <v>3968</v>
      </c>
      <c r="E2067">
        <f t="shared" si="32"/>
        <v>0</v>
      </c>
    </row>
    <row r="2068" spans="1:5">
      <c r="A2068" s="1">
        <f>IF(C2068="","",COUNTA(C$4:C2068))</f>
        <v>2047</v>
      </c>
      <c r="B2068" s="1" t="s">
        <v>3969</v>
      </c>
      <c r="C2068" s="1" t="s">
        <v>3970</v>
      </c>
      <c r="E2068">
        <f t="shared" si="32"/>
        <v>0</v>
      </c>
    </row>
    <row r="2069" spans="1:5">
      <c r="A2069" s="1">
        <f>IF(C2069="","",COUNTA(C$4:C2069))</f>
        <v>2048</v>
      </c>
      <c r="B2069" s="1" t="s">
        <v>3971</v>
      </c>
      <c r="C2069" s="1" t="s">
        <v>3972</v>
      </c>
      <c r="E2069">
        <f t="shared" si="32"/>
        <v>0</v>
      </c>
    </row>
    <row r="2070" spans="1:5">
      <c r="A2070" s="1">
        <f>IF(C2070="","",COUNTA(C$4:C2070))</f>
        <v>2049</v>
      </c>
      <c r="B2070" s="1" t="s">
        <v>3973</v>
      </c>
      <c r="C2070" s="1" t="s">
        <v>3974</v>
      </c>
      <c r="E2070">
        <f t="shared" si="32"/>
        <v>0</v>
      </c>
    </row>
    <row r="2071" spans="1:5">
      <c r="A2071" s="1">
        <f>IF(C2071="","",COUNTA(C$4:C2071))</f>
        <v>2050</v>
      </c>
      <c r="B2071" s="1" t="s">
        <v>3975</v>
      </c>
      <c r="C2071" s="1" t="s">
        <v>3976</v>
      </c>
      <c r="E2071">
        <f t="shared" si="32"/>
        <v>0</v>
      </c>
    </row>
    <row r="2072" spans="1:5">
      <c r="A2072" s="1">
        <f>IF(C2072="","",COUNTA(C$4:C2072))</f>
        <v>2051</v>
      </c>
      <c r="B2072" s="1" t="s">
        <v>3087</v>
      </c>
      <c r="C2072" s="1" t="s">
        <v>3977</v>
      </c>
      <c r="E2072">
        <f t="shared" si="32"/>
        <v>0</v>
      </c>
    </row>
    <row r="2073" spans="1:5">
      <c r="A2073" s="1">
        <f>IF(C2073="","",COUNTA(C$4:C2073))</f>
        <v>2052</v>
      </c>
      <c r="B2073" s="1" t="s">
        <v>3978</v>
      </c>
      <c r="C2073" s="1" t="s">
        <v>3979</v>
      </c>
      <c r="E2073">
        <f t="shared" si="32"/>
        <v>0</v>
      </c>
    </row>
    <row r="2074" spans="1:5">
      <c r="A2074" s="1">
        <f>IF(C2074="","",COUNTA(C$4:C2074))</f>
        <v>2053</v>
      </c>
      <c r="B2074" s="1" t="s">
        <v>3980</v>
      </c>
      <c r="C2074" s="1" t="s">
        <v>3981</v>
      </c>
      <c r="E2074">
        <f t="shared" si="32"/>
        <v>0</v>
      </c>
    </row>
    <row r="2075" spans="1:5">
      <c r="A2075" s="1">
        <f>IF(C2075="","",COUNTA(C$4:C2075))</f>
        <v>2054</v>
      </c>
      <c r="B2075" s="1" t="s">
        <v>3982</v>
      </c>
      <c r="C2075" s="1" t="s">
        <v>3983</v>
      </c>
      <c r="E2075">
        <f t="shared" si="32"/>
        <v>0</v>
      </c>
    </row>
    <row r="2076" spans="1:5">
      <c r="A2076" s="1">
        <f>IF(C2076="","",COUNTA(C$4:C2076))</f>
        <v>2055</v>
      </c>
      <c r="B2076" s="1" t="s">
        <v>3984</v>
      </c>
      <c r="C2076" s="1" t="s">
        <v>3985</v>
      </c>
      <c r="E2076">
        <f t="shared" si="32"/>
        <v>0</v>
      </c>
    </row>
    <row r="2077" spans="1:5">
      <c r="A2077" s="1">
        <f>IF(C2077="","",COUNTA(C$4:C2077))</f>
        <v>2056</v>
      </c>
      <c r="B2077" s="1" t="s">
        <v>3986</v>
      </c>
      <c r="C2077" s="1" t="s">
        <v>3987</v>
      </c>
      <c r="E2077">
        <f t="shared" si="32"/>
        <v>0</v>
      </c>
    </row>
    <row r="2078" spans="1:5">
      <c r="A2078" s="1">
        <f>IF(C2078="","",COUNTA(C$4:C2078))</f>
        <v>2057</v>
      </c>
      <c r="B2078" s="1" t="s">
        <v>3988</v>
      </c>
      <c r="C2078" s="1" t="s">
        <v>3989</v>
      </c>
      <c r="E2078">
        <f t="shared" si="32"/>
        <v>0</v>
      </c>
    </row>
    <row r="2079" spans="1:5">
      <c r="A2079" s="1">
        <f>IF(C2079="","",COUNTA(C$4:C2079))</f>
        <v>2058</v>
      </c>
      <c r="B2079" s="1" t="s">
        <v>3990</v>
      </c>
      <c r="C2079" s="1" t="s">
        <v>3991</v>
      </c>
      <c r="E2079">
        <f t="shared" si="32"/>
        <v>0</v>
      </c>
    </row>
    <row r="2080" spans="1:5">
      <c r="A2080" s="1">
        <f>IF(C2080="","",COUNTA(C$4:C2080))</f>
        <v>2059</v>
      </c>
      <c r="B2080" s="1" t="s">
        <v>3992</v>
      </c>
      <c r="C2080" s="1" t="s">
        <v>3993</v>
      </c>
      <c r="E2080">
        <f t="shared" si="32"/>
        <v>0</v>
      </c>
    </row>
    <row r="2081" spans="1:5">
      <c r="A2081" s="1">
        <f>IF(C2081="","",COUNTA(C$4:C2081))</f>
        <v>2060</v>
      </c>
      <c r="B2081" s="1" t="s">
        <v>3992</v>
      </c>
      <c r="C2081" s="1" t="s">
        <v>3994</v>
      </c>
      <c r="E2081">
        <f t="shared" si="32"/>
        <v>0</v>
      </c>
    </row>
    <row r="2082" spans="1:5">
      <c r="A2082" s="1">
        <f>IF(C2082="","",COUNTA(C$4:C2082))</f>
        <v>2061</v>
      </c>
      <c r="B2082" s="1" t="s">
        <v>3995</v>
      </c>
      <c r="C2082" s="1" t="s">
        <v>3996</v>
      </c>
      <c r="E2082">
        <f t="shared" si="32"/>
        <v>0</v>
      </c>
    </row>
    <row r="2083" spans="1:5">
      <c r="A2083" s="1">
        <f>IF(C2083="","",COUNTA(C$4:C2083))</f>
        <v>2062</v>
      </c>
      <c r="B2083" s="1" t="s">
        <v>3997</v>
      </c>
      <c r="C2083" s="1" t="s">
        <v>3998</v>
      </c>
      <c r="E2083">
        <f t="shared" si="32"/>
        <v>0</v>
      </c>
    </row>
    <row r="2084" spans="1:5">
      <c r="A2084" s="1">
        <f>IF(C2084="","",COUNTA(C$4:C2084))</f>
        <v>2063</v>
      </c>
      <c r="B2084" s="1" t="s">
        <v>3999</v>
      </c>
      <c r="C2084" s="1" t="s">
        <v>4000</v>
      </c>
      <c r="E2084">
        <f t="shared" si="32"/>
        <v>0</v>
      </c>
    </row>
    <row r="2085" spans="1:5">
      <c r="A2085" s="1">
        <f>IF(C2085="","",COUNTA(C$4:C2085))</f>
        <v>2064</v>
      </c>
      <c r="B2085" s="1" t="s">
        <v>4001</v>
      </c>
      <c r="C2085" s="1" t="s">
        <v>4002</v>
      </c>
      <c r="E2085">
        <f t="shared" si="32"/>
        <v>0</v>
      </c>
    </row>
    <row r="2086" spans="1:5">
      <c r="A2086" s="1">
        <f>IF(C2086="","",COUNTA(C$4:C2086))</f>
        <v>2065</v>
      </c>
      <c r="B2086" s="1" t="s">
        <v>4003</v>
      </c>
      <c r="C2086" s="1" t="s">
        <v>4004</v>
      </c>
      <c r="E2086">
        <f t="shared" si="32"/>
        <v>0</v>
      </c>
    </row>
    <row r="2087" spans="1:5">
      <c r="A2087" s="1">
        <f>IF(C2087="","",COUNTA(C$4:C2087))</f>
        <v>2066</v>
      </c>
      <c r="B2087" s="1" t="s">
        <v>4005</v>
      </c>
      <c r="C2087" s="1" t="s">
        <v>4006</v>
      </c>
      <c r="E2087">
        <f t="shared" si="32"/>
        <v>0</v>
      </c>
    </row>
    <row r="2088" spans="1:5">
      <c r="A2088" s="1">
        <f>IF(C2088="","",COUNTA(C$4:C2088))</f>
        <v>2067</v>
      </c>
      <c r="B2088" s="1" t="s">
        <v>4005</v>
      </c>
      <c r="C2088" s="1" t="s">
        <v>4007</v>
      </c>
      <c r="E2088">
        <f t="shared" si="32"/>
        <v>0</v>
      </c>
    </row>
    <row r="2089" spans="1:5">
      <c r="A2089" s="1">
        <f>IF(C2089="","",COUNTA(C$4:C2089))</f>
        <v>2068</v>
      </c>
      <c r="B2089" s="1" t="s">
        <v>4008</v>
      </c>
      <c r="C2089" s="1" t="s">
        <v>4009</v>
      </c>
      <c r="E2089">
        <f t="shared" si="32"/>
        <v>0</v>
      </c>
    </row>
    <row r="2090" spans="1:5">
      <c r="A2090" s="1">
        <f>IF(C2090="","",COUNTA(C$4:C2090))</f>
        <v>2069</v>
      </c>
      <c r="B2090" s="1" t="s">
        <v>4010</v>
      </c>
      <c r="C2090" s="1" t="s">
        <v>4011</v>
      </c>
      <c r="E2090">
        <f t="shared" si="32"/>
        <v>0</v>
      </c>
    </row>
    <row r="2091" spans="1:5">
      <c r="A2091" s="1">
        <f>IF(C2091="","",COUNTA(C$4:C2091))</f>
        <v>2070</v>
      </c>
      <c r="B2091" s="1" t="s">
        <v>4012</v>
      </c>
      <c r="C2091" s="1" t="s">
        <v>4013</v>
      </c>
      <c r="E2091">
        <f t="shared" si="32"/>
        <v>0</v>
      </c>
    </row>
    <row r="2092" spans="1:5">
      <c r="A2092" s="1">
        <f>IF(C2092="","",COUNTA(C$4:C2092))</f>
        <v>2071</v>
      </c>
      <c r="B2092" s="1" t="s">
        <v>4014</v>
      </c>
      <c r="C2092" s="1" t="s">
        <v>4015</v>
      </c>
      <c r="E2092">
        <f t="shared" si="32"/>
        <v>0</v>
      </c>
    </row>
    <row r="2093" spans="1:5">
      <c r="A2093" s="1">
        <f>IF(C2093="","",COUNTA(C$4:C2093))</f>
        <v>2072</v>
      </c>
      <c r="B2093" s="1" t="s">
        <v>3050</v>
      </c>
      <c r="C2093" s="1" t="s">
        <v>4016</v>
      </c>
      <c r="E2093">
        <f t="shared" si="32"/>
        <v>0</v>
      </c>
    </row>
    <row r="2094" spans="1:5">
      <c r="A2094" s="1">
        <f>IF(C2094="","",COUNTA(C$4:C2094))</f>
        <v>2073</v>
      </c>
      <c r="B2094" s="1" t="s">
        <v>4017</v>
      </c>
      <c r="C2094" s="1" t="s">
        <v>4018</v>
      </c>
      <c r="E2094">
        <f t="shared" si="32"/>
        <v>0</v>
      </c>
    </row>
    <row r="2095" spans="1:5">
      <c r="A2095" s="1">
        <f>IF(C2095="","",COUNTA(C$4:C2095))</f>
        <v>2074</v>
      </c>
      <c r="B2095" s="1" t="s">
        <v>4019</v>
      </c>
      <c r="C2095" s="1" t="s">
        <v>4020</v>
      </c>
      <c r="E2095">
        <f t="shared" si="32"/>
        <v>0</v>
      </c>
    </row>
    <row r="2096" spans="1:5">
      <c r="A2096" s="1">
        <f>IF(C2096="","",COUNTA(C$4:C2096))</f>
        <v>2075</v>
      </c>
      <c r="B2096" s="1" t="s">
        <v>4021</v>
      </c>
      <c r="C2096" s="1" t="s">
        <v>4022</v>
      </c>
      <c r="E2096">
        <f t="shared" si="32"/>
        <v>0</v>
      </c>
    </row>
    <row r="2097" spans="1:5">
      <c r="A2097" s="1">
        <f>IF(C2097="","",COUNTA(C$4:C2097))</f>
        <v>2076</v>
      </c>
      <c r="B2097" s="1" t="s">
        <v>4023</v>
      </c>
      <c r="C2097" s="1" t="s">
        <v>4024</v>
      </c>
      <c r="E2097">
        <f t="shared" si="32"/>
        <v>0</v>
      </c>
    </row>
    <row r="2098" spans="1:5">
      <c r="A2098" s="1">
        <f>IF(C2098="","",COUNTA(C$4:C2098))</f>
        <v>2077</v>
      </c>
      <c r="B2098" s="1" t="s">
        <v>4025</v>
      </c>
      <c r="C2098" s="1" t="s">
        <v>4026</v>
      </c>
      <c r="E2098">
        <f t="shared" si="32"/>
        <v>0</v>
      </c>
    </row>
    <row r="2099" spans="1:5">
      <c r="A2099" s="1">
        <f>IF(C2099="","",COUNTA(C$4:C2099))</f>
        <v>2078</v>
      </c>
      <c r="B2099" s="1" t="s">
        <v>4027</v>
      </c>
      <c r="C2099" s="1" t="s">
        <v>4028</v>
      </c>
      <c r="E2099">
        <f t="shared" si="32"/>
        <v>0</v>
      </c>
    </row>
    <row r="2100" spans="1:5">
      <c r="A2100" s="1">
        <f>IF(C2100="","",COUNTA(C$4:C2100))</f>
        <v>2079</v>
      </c>
      <c r="B2100" s="1" t="s">
        <v>4029</v>
      </c>
      <c r="C2100" s="1" t="s">
        <v>4030</v>
      </c>
      <c r="E2100">
        <f t="shared" si="32"/>
        <v>0</v>
      </c>
    </row>
    <row r="2101" spans="1:5">
      <c r="A2101" s="1">
        <f>IF(C2101="","",COUNTA(C$4:C2101))</f>
        <v>2080</v>
      </c>
      <c r="B2101" s="1" t="s">
        <v>4031</v>
      </c>
      <c r="C2101" s="1" t="s">
        <v>4032</v>
      </c>
      <c r="E2101">
        <f t="shared" si="32"/>
        <v>0</v>
      </c>
    </row>
    <row r="2102" spans="1:5">
      <c r="A2102" s="1">
        <f>IF(C2102="","",COUNTA(C$4:C2102))</f>
        <v>2081</v>
      </c>
      <c r="B2102" s="1" t="s">
        <v>4033</v>
      </c>
      <c r="C2102" s="1" t="s">
        <v>4034</v>
      </c>
      <c r="E2102">
        <f t="shared" si="32"/>
        <v>0</v>
      </c>
    </row>
    <row r="2103" spans="1:5">
      <c r="A2103" s="1">
        <f>IF(C2103="","",COUNTA(C$4:C2103))</f>
        <v>2082</v>
      </c>
      <c r="B2103" s="1" t="s">
        <v>4035</v>
      </c>
      <c r="C2103" s="1" t="s">
        <v>4036</v>
      </c>
      <c r="E2103">
        <f t="shared" si="32"/>
        <v>0</v>
      </c>
    </row>
    <row r="2104" spans="1:5">
      <c r="A2104" s="1">
        <f>IF(C2104="","",COUNTA(C$4:C2104))</f>
        <v>2083</v>
      </c>
      <c r="B2104" s="1" t="s">
        <v>4037</v>
      </c>
      <c r="C2104" s="1" t="s">
        <v>4038</v>
      </c>
      <c r="E2104">
        <f t="shared" si="32"/>
        <v>0</v>
      </c>
    </row>
    <row r="2105" spans="1:5">
      <c r="A2105" s="1">
        <f>IF(C2105="","",COUNTA(C$4:C2105))</f>
        <v>2084</v>
      </c>
      <c r="B2105" s="1" t="s">
        <v>4039</v>
      </c>
      <c r="C2105" s="1" t="s">
        <v>4040</v>
      </c>
      <c r="E2105">
        <f t="shared" si="32"/>
        <v>0</v>
      </c>
    </row>
    <row r="2106" spans="1:5">
      <c r="A2106" s="1">
        <f>IF(C2106="","",COUNTA(C$4:C2106))</f>
        <v>2085</v>
      </c>
      <c r="B2106" s="1" t="s">
        <v>4041</v>
      </c>
      <c r="C2106" s="1" t="s">
        <v>4042</v>
      </c>
      <c r="E2106">
        <f t="shared" si="32"/>
        <v>0</v>
      </c>
    </row>
    <row r="2107" spans="1:5">
      <c r="A2107" s="1">
        <f>IF(C2107="","",COUNTA(C$4:C2107))</f>
        <v>2086</v>
      </c>
      <c r="B2107" s="1" t="s">
        <v>4043</v>
      </c>
      <c r="C2107" s="1" t="s">
        <v>4044</v>
      </c>
      <c r="E2107">
        <f t="shared" si="32"/>
        <v>0</v>
      </c>
    </row>
    <row r="2108" spans="1:5">
      <c r="A2108" s="1">
        <f>IF(C2108="","",COUNTA(C$4:C2108))</f>
        <v>2087</v>
      </c>
      <c r="B2108" s="1" t="s">
        <v>4045</v>
      </c>
      <c r="C2108" s="3" t="s">
        <v>4046</v>
      </c>
      <c r="E2108">
        <f t="shared" si="32"/>
        <v>0</v>
      </c>
    </row>
    <row r="2109" spans="1:5">
      <c r="A2109" s="1">
        <f>IF(C2109="","",COUNTA(C$4:C2109))</f>
        <v>2088</v>
      </c>
      <c r="B2109" s="1" t="s">
        <v>4045</v>
      </c>
      <c r="C2109" s="1" t="s">
        <v>4047</v>
      </c>
      <c r="E2109">
        <f t="shared" si="32"/>
        <v>0</v>
      </c>
    </row>
    <row r="2110" spans="1:5">
      <c r="A2110" s="1">
        <f>IF(C2110="","",COUNTA(C$4:C2110))</f>
        <v>2089</v>
      </c>
      <c r="B2110" s="1" t="s">
        <v>4048</v>
      </c>
      <c r="C2110" s="1" t="s">
        <v>4049</v>
      </c>
      <c r="E2110">
        <f t="shared" si="32"/>
        <v>0</v>
      </c>
    </row>
    <row r="2111" spans="1:5">
      <c r="A2111" s="1">
        <f>IF(C2111="","",COUNTA(C$4:C2111))</f>
        <v>2090</v>
      </c>
      <c r="B2111" s="1" t="s">
        <v>4050</v>
      </c>
      <c r="C2111" s="1" t="s">
        <v>4051</v>
      </c>
      <c r="E2111">
        <f t="shared" si="32"/>
        <v>0</v>
      </c>
    </row>
    <row r="2112" spans="1:5">
      <c r="A2112" s="1">
        <f>IF(C2112="","",COUNTA(C$4:C2112))</f>
        <v>2091</v>
      </c>
      <c r="B2112" s="1" t="s">
        <v>4052</v>
      </c>
      <c r="C2112" s="1" t="s">
        <v>4053</v>
      </c>
      <c r="E2112">
        <f t="shared" si="32"/>
        <v>0</v>
      </c>
    </row>
    <row r="2113" spans="1:5">
      <c r="A2113" s="1">
        <f>IF(C2113="","",COUNTA(C$4:C2113))</f>
        <v>2092</v>
      </c>
      <c r="B2113" s="1" t="s">
        <v>4054</v>
      </c>
      <c r="C2113" s="1" t="s">
        <v>4055</v>
      </c>
      <c r="E2113">
        <f t="shared" si="32"/>
        <v>0</v>
      </c>
    </row>
    <row r="2114" spans="1:5">
      <c r="A2114" s="1">
        <f>IF(C2114="","",COUNTA(C$4:C2114))</f>
        <v>2093</v>
      </c>
      <c r="B2114" s="1" t="s">
        <v>4056</v>
      </c>
      <c r="C2114" s="1" t="s">
        <v>4057</v>
      </c>
      <c r="E2114">
        <f t="shared" si="32"/>
        <v>0</v>
      </c>
    </row>
    <row r="2115" spans="1:5">
      <c r="A2115" s="1">
        <f>IF(C2115="","",COUNTA(C$4:C2115))</f>
        <v>2094</v>
      </c>
      <c r="B2115" s="1" t="s">
        <v>4058</v>
      </c>
      <c r="C2115" s="1" t="s">
        <v>4059</v>
      </c>
      <c r="E2115">
        <f t="shared" si="32"/>
        <v>0</v>
      </c>
    </row>
    <row r="2116" spans="1:5">
      <c r="A2116" s="1">
        <f>IF(C2116="","",COUNTA(C$4:C2116))</f>
        <v>2095</v>
      </c>
      <c r="B2116" s="1" t="s">
        <v>3783</v>
      </c>
      <c r="C2116" s="4" t="s">
        <v>4060</v>
      </c>
      <c r="E2116">
        <f t="shared" si="32"/>
        <v>0</v>
      </c>
    </row>
    <row r="2117" spans="1:5">
      <c r="A2117" s="1">
        <f>IF(C2117="","",COUNTA(C$4:C2117))</f>
        <v>2096</v>
      </c>
      <c r="B2117" s="1" t="s">
        <v>4061</v>
      </c>
      <c r="C2117" s="1" t="s">
        <v>4062</v>
      </c>
      <c r="E2117">
        <f t="shared" ref="E2117:E2180" si="33">IF(C2117=D2117,1,0)</f>
        <v>0</v>
      </c>
    </row>
    <row r="2118" spans="1:5">
      <c r="A2118" s="1">
        <f>IF(C2118="","",COUNTA(C$4:C2118))</f>
        <v>2097</v>
      </c>
      <c r="B2118" s="1" t="s">
        <v>4063</v>
      </c>
      <c r="C2118" s="1" t="s">
        <v>4064</v>
      </c>
      <c r="E2118">
        <f t="shared" si="33"/>
        <v>0</v>
      </c>
    </row>
    <row r="2119" spans="1:5">
      <c r="A2119" s="1">
        <f>IF(C2119="","",COUNTA(C$4:C2119))</f>
        <v>2098</v>
      </c>
      <c r="B2119" s="1" t="s">
        <v>4065</v>
      </c>
      <c r="C2119" s="1" t="s">
        <v>4066</v>
      </c>
      <c r="E2119">
        <f t="shared" si="33"/>
        <v>0</v>
      </c>
    </row>
    <row r="2120" spans="1:5">
      <c r="A2120" s="1">
        <f>IF(C2120="","",COUNTA(C$4:C2120))</f>
        <v>2099</v>
      </c>
      <c r="B2120" s="1" t="s">
        <v>4067</v>
      </c>
      <c r="C2120" s="1" t="s">
        <v>4068</v>
      </c>
      <c r="E2120">
        <f t="shared" si="33"/>
        <v>0</v>
      </c>
    </row>
    <row r="2121" spans="1:5">
      <c r="A2121" s="1">
        <f>IF(C2121="","",COUNTA(C$4:C2121))</f>
        <v>2100</v>
      </c>
      <c r="B2121" s="1" t="s">
        <v>4069</v>
      </c>
      <c r="C2121" s="1" t="s">
        <v>4070</v>
      </c>
      <c r="E2121">
        <f t="shared" si="33"/>
        <v>0</v>
      </c>
    </row>
    <row r="2122" spans="1:5">
      <c r="A2122" s="1">
        <f>IF(C2122="","",COUNTA(C$4:C2122))</f>
        <v>2101</v>
      </c>
      <c r="B2122" s="1" t="s">
        <v>4071</v>
      </c>
      <c r="C2122" s="1" t="s">
        <v>4072</v>
      </c>
      <c r="E2122">
        <f t="shared" si="33"/>
        <v>0</v>
      </c>
    </row>
    <row r="2123" spans="1:5">
      <c r="A2123" s="1">
        <f>IF(C2123="","",COUNTA(C$4:C2123))</f>
        <v>2102</v>
      </c>
      <c r="B2123" s="1" t="s">
        <v>4073</v>
      </c>
      <c r="C2123" s="1" t="s">
        <v>4074</v>
      </c>
      <c r="E2123">
        <f t="shared" si="33"/>
        <v>0</v>
      </c>
    </row>
    <row r="2124" spans="1:5">
      <c r="A2124" s="1">
        <f>IF(C2124="","",COUNTA(C$4:C2124))</f>
        <v>2103</v>
      </c>
      <c r="B2124" s="1" t="s">
        <v>4075</v>
      </c>
      <c r="C2124" s="1" t="s">
        <v>4076</v>
      </c>
      <c r="E2124">
        <f t="shared" si="33"/>
        <v>0</v>
      </c>
    </row>
    <row r="2125" spans="1:5">
      <c r="A2125" s="1">
        <f>IF(C2125="","",COUNTA(C$4:C2125))</f>
        <v>2104</v>
      </c>
      <c r="B2125" s="1" t="s">
        <v>4077</v>
      </c>
      <c r="C2125" s="1" t="s">
        <v>4078</v>
      </c>
      <c r="E2125">
        <f t="shared" si="33"/>
        <v>0</v>
      </c>
    </row>
    <row r="2126" spans="1:5">
      <c r="A2126" s="1">
        <f>IF(C2126="","",COUNTA(C$4:C2126))</f>
        <v>2105</v>
      </c>
      <c r="B2126" s="1" t="s">
        <v>4077</v>
      </c>
      <c r="C2126" s="1" t="s">
        <v>4079</v>
      </c>
      <c r="E2126">
        <f t="shared" si="33"/>
        <v>0</v>
      </c>
    </row>
    <row r="2127" spans="1:5">
      <c r="A2127" s="1">
        <f>IF(C2127="","",COUNTA(C$4:C2127))</f>
        <v>2106</v>
      </c>
      <c r="B2127" s="1" t="s">
        <v>4080</v>
      </c>
      <c r="C2127" s="1" t="s">
        <v>1062</v>
      </c>
      <c r="E2127">
        <f t="shared" si="33"/>
        <v>0</v>
      </c>
    </row>
    <row r="2128" spans="1:5">
      <c r="A2128" s="1">
        <f>IF(C2128="","",COUNTA(C$4:C2128))</f>
        <v>2107</v>
      </c>
      <c r="B2128" s="1" t="s">
        <v>4081</v>
      </c>
      <c r="C2128" s="1" t="s">
        <v>4082</v>
      </c>
      <c r="E2128">
        <f t="shared" si="33"/>
        <v>0</v>
      </c>
    </row>
    <row r="2129" spans="1:5">
      <c r="A2129" s="1">
        <f>IF(C2129="","",COUNTA(C$4:C2129))</f>
        <v>2108</v>
      </c>
      <c r="B2129" s="1" t="s">
        <v>4083</v>
      </c>
      <c r="C2129" s="3" t="s">
        <v>4084</v>
      </c>
      <c r="E2129">
        <f t="shared" si="33"/>
        <v>0</v>
      </c>
    </row>
    <row r="2130" spans="1:5">
      <c r="A2130" s="1">
        <f>IF(C2130="","",COUNTA(C$4:C2130))</f>
        <v>2109</v>
      </c>
      <c r="B2130" s="1" t="s">
        <v>4085</v>
      </c>
      <c r="C2130" s="1" t="s">
        <v>4086</v>
      </c>
      <c r="E2130">
        <f t="shared" si="33"/>
        <v>0</v>
      </c>
    </row>
    <row r="2131" spans="1:5">
      <c r="A2131" s="1">
        <f>IF(C2131="","",COUNTA(C$4:C2131))</f>
        <v>2110</v>
      </c>
      <c r="B2131" s="1" t="s">
        <v>4087</v>
      </c>
      <c r="C2131" s="1" t="s">
        <v>4088</v>
      </c>
      <c r="E2131">
        <f t="shared" si="33"/>
        <v>0</v>
      </c>
    </row>
    <row r="2132" spans="1:5">
      <c r="A2132" s="1">
        <f>IF(C2132="","",COUNTA(C$4:C2132))</f>
        <v>2111</v>
      </c>
      <c r="B2132" s="1" t="s">
        <v>4089</v>
      </c>
      <c r="C2132" s="1" t="s">
        <v>4090</v>
      </c>
      <c r="E2132">
        <f t="shared" si="33"/>
        <v>0</v>
      </c>
    </row>
    <row r="2133" spans="1:5">
      <c r="A2133" s="1">
        <f>IF(C2133="","",COUNTA(C$4:C2133))</f>
        <v>2112</v>
      </c>
      <c r="B2133" s="1" t="s">
        <v>3607</v>
      </c>
      <c r="C2133" s="1" t="s">
        <v>4091</v>
      </c>
      <c r="E2133">
        <f t="shared" si="33"/>
        <v>0</v>
      </c>
    </row>
    <row r="2134" spans="1:5">
      <c r="A2134" s="1">
        <f>IF(C2134="","",COUNTA(C$4:C2134))</f>
        <v>2113</v>
      </c>
      <c r="B2134" s="1" t="s">
        <v>4092</v>
      </c>
      <c r="C2134" s="1" t="s">
        <v>4093</v>
      </c>
      <c r="E2134">
        <f t="shared" si="33"/>
        <v>0</v>
      </c>
    </row>
    <row r="2135" spans="1:5">
      <c r="A2135" s="1">
        <f>IF(C2135="","",COUNTA(C$4:C2135))</f>
        <v>2114</v>
      </c>
      <c r="B2135" s="1" t="s">
        <v>4094</v>
      </c>
      <c r="C2135" s="1" t="s">
        <v>4095</v>
      </c>
      <c r="E2135">
        <f t="shared" si="33"/>
        <v>0</v>
      </c>
    </row>
    <row r="2136" spans="1:5">
      <c r="A2136" s="1">
        <f>IF(C2136="","",COUNTA(C$4:C2136))</f>
        <v>2115</v>
      </c>
      <c r="B2136" s="1" t="s">
        <v>4096</v>
      </c>
      <c r="C2136" s="1" t="s">
        <v>4097</v>
      </c>
      <c r="E2136">
        <f t="shared" si="33"/>
        <v>0</v>
      </c>
    </row>
    <row r="2137" spans="1:5">
      <c r="A2137" s="1">
        <f>IF(C2137="","",COUNTA(C$4:C2137))</f>
        <v>2116</v>
      </c>
      <c r="B2137" s="1" t="s">
        <v>4098</v>
      </c>
      <c r="C2137" s="1" t="s">
        <v>4099</v>
      </c>
      <c r="E2137">
        <f t="shared" si="33"/>
        <v>0</v>
      </c>
    </row>
    <row r="2138" spans="1:5">
      <c r="A2138" s="1">
        <f>IF(C2138="","",COUNTA(C$4:C2138))</f>
        <v>2117</v>
      </c>
      <c r="B2138" s="1" t="s">
        <v>3169</v>
      </c>
      <c r="C2138" s="1" t="s">
        <v>4100</v>
      </c>
      <c r="E2138">
        <f t="shared" si="33"/>
        <v>0</v>
      </c>
    </row>
    <row r="2139" spans="1:5">
      <c r="A2139" s="1">
        <f>IF(C2139="","",COUNTA(C$4:C2139))</f>
        <v>2118</v>
      </c>
      <c r="B2139" s="1" t="s">
        <v>4101</v>
      </c>
      <c r="C2139" s="1" t="s">
        <v>4102</v>
      </c>
      <c r="E2139">
        <f t="shared" si="33"/>
        <v>0</v>
      </c>
    </row>
    <row r="2140" spans="1:5">
      <c r="A2140" s="1">
        <f>IF(C2140="","",COUNTA(C$4:C2140))</f>
        <v>2119</v>
      </c>
      <c r="B2140" s="1" t="s">
        <v>4103</v>
      </c>
      <c r="C2140" s="1" t="s">
        <v>4104</v>
      </c>
      <c r="E2140">
        <f t="shared" si="33"/>
        <v>0</v>
      </c>
    </row>
    <row r="2141" spans="1:5">
      <c r="A2141" s="1">
        <f>IF(C2141="","",COUNTA(C$4:C2141))</f>
        <v>2120</v>
      </c>
      <c r="B2141" s="1" t="s">
        <v>4105</v>
      </c>
      <c r="C2141" s="1" t="s">
        <v>4106</v>
      </c>
      <c r="E2141">
        <f t="shared" si="33"/>
        <v>0</v>
      </c>
    </row>
    <row r="2142" spans="1:5">
      <c r="A2142" s="1">
        <f>IF(C2142="","",COUNTA(C$4:C2142))</f>
        <v>2121</v>
      </c>
      <c r="B2142" s="1" t="s">
        <v>4107</v>
      </c>
      <c r="C2142" s="1" t="s">
        <v>4108</v>
      </c>
      <c r="E2142">
        <f t="shared" si="33"/>
        <v>0</v>
      </c>
    </row>
    <row r="2143" spans="1:5">
      <c r="A2143" s="1">
        <f>IF(C2143="","",COUNTA(C$4:C2143))</f>
        <v>2122</v>
      </c>
      <c r="B2143" s="1" t="s">
        <v>2900</v>
      </c>
      <c r="C2143" s="1" t="s">
        <v>4109</v>
      </c>
      <c r="E2143">
        <f t="shared" si="33"/>
        <v>0</v>
      </c>
    </row>
    <row r="2144" spans="1:5">
      <c r="A2144" s="1">
        <f>IF(C2144="","",COUNTA(C$4:C2144))</f>
        <v>2123</v>
      </c>
      <c r="B2144" s="1" t="s">
        <v>4110</v>
      </c>
      <c r="C2144" s="1" t="s">
        <v>4111</v>
      </c>
      <c r="E2144">
        <f t="shared" si="33"/>
        <v>0</v>
      </c>
    </row>
    <row r="2145" spans="1:5">
      <c r="A2145" s="1">
        <f>IF(C2145="","",COUNTA(C$4:C2145))</f>
        <v>2124</v>
      </c>
      <c r="B2145" s="1" t="s">
        <v>4112</v>
      </c>
      <c r="C2145" s="1" t="s">
        <v>4113</v>
      </c>
      <c r="E2145">
        <f t="shared" si="33"/>
        <v>0</v>
      </c>
    </row>
    <row r="2146" spans="1:5">
      <c r="A2146" s="1">
        <f>IF(C2146="","",COUNTA(C$4:C2146))</f>
        <v>2125</v>
      </c>
      <c r="B2146" s="1" t="s">
        <v>4114</v>
      </c>
      <c r="C2146" s="1" t="s">
        <v>4115</v>
      </c>
      <c r="E2146">
        <f t="shared" si="33"/>
        <v>0</v>
      </c>
    </row>
    <row r="2147" spans="1:5">
      <c r="A2147" s="1">
        <f>IF(C2147="","",COUNTA(C$4:C2147))</f>
        <v>2126</v>
      </c>
      <c r="B2147" s="1" t="s">
        <v>4116</v>
      </c>
      <c r="C2147" s="1" t="s">
        <v>4117</v>
      </c>
      <c r="E2147">
        <f t="shared" si="33"/>
        <v>0</v>
      </c>
    </row>
    <row r="2148" spans="1:5">
      <c r="A2148" s="1">
        <f>IF(C2148="","",COUNTA(C$4:C2148))</f>
        <v>2127</v>
      </c>
      <c r="B2148" s="1" t="s">
        <v>4118</v>
      </c>
      <c r="C2148" s="1" t="s">
        <v>4119</v>
      </c>
      <c r="E2148">
        <f t="shared" si="33"/>
        <v>0</v>
      </c>
    </row>
    <row r="2149" spans="1:5">
      <c r="A2149" s="1">
        <f>IF(C2149="","",COUNTA(C$4:C2149))</f>
        <v>2128</v>
      </c>
      <c r="B2149" s="1" t="s">
        <v>4071</v>
      </c>
      <c r="C2149" s="1" t="s">
        <v>4120</v>
      </c>
      <c r="E2149">
        <f t="shared" si="33"/>
        <v>0</v>
      </c>
    </row>
    <row r="2150" spans="1:5">
      <c r="A2150" s="1">
        <f>IF(C2150="","",COUNTA(C$4:C2150))</f>
        <v>2129</v>
      </c>
      <c r="B2150" s="1" t="s">
        <v>4121</v>
      </c>
      <c r="C2150" s="3" t="s">
        <v>4122</v>
      </c>
      <c r="E2150">
        <f t="shared" si="33"/>
        <v>0</v>
      </c>
    </row>
    <row r="2151" spans="1:5">
      <c r="A2151" s="1">
        <f>IF(C2151="","",COUNTA(C$4:C2151))</f>
        <v>2130</v>
      </c>
      <c r="B2151" s="1" t="s">
        <v>4123</v>
      </c>
      <c r="C2151" s="1" t="s">
        <v>4124</v>
      </c>
      <c r="E2151">
        <f t="shared" si="33"/>
        <v>0</v>
      </c>
    </row>
    <row r="2152" spans="1:5">
      <c r="A2152" s="1">
        <f>IF(C2152="","",COUNTA(C$4:C2152))</f>
        <v>2131</v>
      </c>
      <c r="B2152" s="1" t="s">
        <v>4125</v>
      </c>
      <c r="C2152" s="1" t="s">
        <v>4126</v>
      </c>
      <c r="E2152">
        <f t="shared" si="33"/>
        <v>0</v>
      </c>
    </row>
    <row r="2153" spans="1:5">
      <c r="A2153" s="1">
        <f>IF(C2153="","",COUNTA(C$4:C2153))</f>
        <v>2132</v>
      </c>
      <c r="B2153" s="1" t="s">
        <v>4127</v>
      </c>
      <c r="C2153" s="1" t="s">
        <v>4128</v>
      </c>
      <c r="E2153">
        <f t="shared" si="33"/>
        <v>0</v>
      </c>
    </row>
    <row r="2154" spans="1:5">
      <c r="A2154" s="1">
        <f>IF(C2154="","",COUNTA(C$4:C2154))</f>
        <v>2133</v>
      </c>
      <c r="B2154" s="1" t="s">
        <v>4129</v>
      </c>
      <c r="C2154" s="1" t="s">
        <v>4130</v>
      </c>
      <c r="E2154">
        <f t="shared" si="33"/>
        <v>0</v>
      </c>
    </row>
    <row r="2155" spans="1:5">
      <c r="A2155" s="12" t="s">
        <v>4131</v>
      </c>
      <c r="B2155" s="13"/>
      <c r="C2155" s="14"/>
      <c r="D2155" s="9"/>
      <c r="E2155">
        <f t="shared" si="33"/>
        <v>1</v>
      </c>
    </row>
    <row r="2156" spans="1:5">
      <c r="A2156" s="1">
        <f>IF(C2156="","",COUNTA(C$4:C2156))</f>
        <v>2134</v>
      </c>
      <c r="B2156" s="1" t="s">
        <v>3314</v>
      </c>
      <c r="C2156" s="1" t="s">
        <v>4132</v>
      </c>
      <c r="E2156">
        <f t="shared" si="33"/>
        <v>0</v>
      </c>
    </row>
    <row r="2157" spans="1:5">
      <c r="A2157" s="1">
        <f>IF(C2157="","",COUNTA(C$4:C2157))</f>
        <v>2135</v>
      </c>
      <c r="B2157" s="1" t="s">
        <v>4133</v>
      </c>
      <c r="C2157" s="1" t="s">
        <v>4134</v>
      </c>
      <c r="E2157">
        <f t="shared" si="33"/>
        <v>0</v>
      </c>
    </row>
    <row r="2158" spans="1:5">
      <c r="A2158" s="1">
        <f>IF(C2158="","",COUNTA(C$4:C2158))</f>
        <v>2136</v>
      </c>
      <c r="B2158" s="1" t="s">
        <v>4135</v>
      </c>
      <c r="C2158" s="1" t="s">
        <v>4136</v>
      </c>
      <c r="E2158">
        <f t="shared" si="33"/>
        <v>0</v>
      </c>
    </row>
    <row r="2159" spans="1:5">
      <c r="A2159" s="1">
        <f>IF(C2159="","",COUNTA(C$4:C2159))</f>
        <v>2137</v>
      </c>
      <c r="B2159" s="1" t="s">
        <v>4137</v>
      </c>
      <c r="C2159" s="1" t="s">
        <v>4138</v>
      </c>
      <c r="E2159">
        <f t="shared" si="33"/>
        <v>0</v>
      </c>
    </row>
    <row r="2160" spans="1:5">
      <c r="A2160" s="1">
        <f>IF(C2160="","",COUNTA(C$4:C2160))</f>
        <v>2138</v>
      </c>
      <c r="B2160" s="1" t="s">
        <v>4139</v>
      </c>
      <c r="C2160" s="1" t="s">
        <v>4140</v>
      </c>
      <c r="E2160">
        <f t="shared" si="33"/>
        <v>0</v>
      </c>
    </row>
    <row r="2161" spans="1:5">
      <c r="A2161" s="1">
        <f>IF(C2161="","",COUNTA(C$4:C2161))</f>
        <v>2139</v>
      </c>
      <c r="B2161" s="1" t="s">
        <v>4141</v>
      </c>
      <c r="C2161" s="1" t="s">
        <v>4142</v>
      </c>
      <c r="E2161">
        <f t="shared" si="33"/>
        <v>0</v>
      </c>
    </row>
    <row r="2162" spans="1:5">
      <c r="A2162" s="1">
        <f>IF(C2162="","",COUNTA(C$4:C2162))</f>
        <v>2140</v>
      </c>
      <c r="B2162" s="1" t="s">
        <v>4143</v>
      </c>
      <c r="C2162" s="1" t="s">
        <v>4144</v>
      </c>
      <c r="E2162">
        <f t="shared" si="33"/>
        <v>0</v>
      </c>
    </row>
    <row r="2163" spans="1:5">
      <c r="A2163" s="1">
        <f>IF(C2163="","",COUNTA(C$4:C2163))</f>
        <v>2141</v>
      </c>
      <c r="B2163" s="1" t="s">
        <v>4145</v>
      </c>
      <c r="C2163" s="1" t="s">
        <v>4146</v>
      </c>
      <c r="E2163">
        <f t="shared" si="33"/>
        <v>0</v>
      </c>
    </row>
    <row r="2164" spans="1:5">
      <c r="A2164" s="1">
        <f>IF(C2164="","",COUNTA(C$4:C2164))</f>
        <v>2142</v>
      </c>
      <c r="B2164" s="1" t="s">
        <v>4147</v>
      </c>
      <c r="C2164" s="1" t="s">
        <v>4148</v>
      </c>
      <c r="E2164">
        <f t="shared" si="33"/>
        <v>0</v>
      </c>
    </row>
    <row r="2165" spans="1:5">
      <c r="A2165" s="1">
        <f>IF(C2165="","",COUNTA(C$4:C2165))</f>
        <v>2143</v>
      </c>
      <c r="B2165" s="1" t="s">
        <v>4149</v>
      </c>
      <c r="C2165" s="1" t="s">
        <v>4150</v>
      </c>
      <c r="E2165">
        <f t="shared" si="33"/>
        <v>0</v>
      </c>
    </row>
    <row r="2166" spans="1:5">
      <c r="A2166" s="1">
        <f>IF(C2166="","",COUNTA(C$4:C2166))</f>
        <v>2144</v>
      </c>
      <c r="B2166" s="1" t="s">
        <v>4151</v>
      </c>
      <c r="C2166" s="1" t="s">
        <v>4152</v>
      </c>
      <c r="E2166">
        <f t="shared" si="33"/>
        <v>0</v>
      </c>
    </row>
    <row r="2167" spans="1:5">
      <c r="A2167" s="1">
        <f>IF(C2167="","",COUNTA(C$4:C2167))</f>
        <v>2145</v>
      </c>
      <c r="B2167" s="1" t="s">
        <v>3436</v>
      </c>
      <c r="C2167" s="1" t="s">
        <v>4153</v>
      </c>
      <c r="E2167">
        <f t="shared" si="33"/>
        <v>0</v>
      </c>
    </row>
    <row r="2168" spans="1:5">
      <c r="A2168" s="1">
        <f>IF(C2168="","",COUNTA(C$4:C2168))</f>
        <v>2146</v>
      </c>
      <c r="B2168" s="1" t="s">
        <v>4154</v>
      </c>
      <c r="C2168" s="1" t="s">
        <v>4155</v>
      </c>
      <c r="E2168">
        <f t="shared" si="33"/>
        <v>0</v>
      </c>
    </row>
    <row r="2169" spans="1:5">
      <c r="A2169" s="1">
        <f>IF(C2169="","",COUNTA(C$4:C2169))</f>
        <v>2147</v>
      </c>
      <c r="B2169" s="1" t="s">
        <v>4156</v>
      </c>
      <c r="C2169" s="1" t="s">
        <v>4157</v>
      </c>
      <c r="E2169">
        <f t="shared" si="33"/>
        <v>0</v>
      </c>
    </row>
    <row r="2170" spans="1:5">
      <c r="A2170" s="1">
        <f>IF(C2170="","",COUNTA(C$4:C2170))</f>
        <v>2148</v>
      </c>
      <c r="B2170" s="1" t="s">
        <v>4158</v>
      </c>
      <c r="C2170" s="1" t="s">
        <v>4159</v>
      </c>
      <c r="E2170">
        <f t="shared" si="33"/>
        <v>0</v>
      </c>
    </row>
    <row r="2171" spans="1:5">
      <c r="A2171" s="1">
        <f>IF(C2171="","",COUNTA(C$4:C2171))</f>
        <v>2149</v>
      </c>
      <c r="B2171" s="1" t="s">
        <v>4160</v>
      </c>
      <c r="C2171" s="1" t="s">
        <v>4161</v>
      </c>
      <c r="E2171">
        <f t="shared" si="33"/>
        <v>0</v>
      </c>
    </row>
    <row r="2172" spans="1:5">
      <c r="A2172" s="1">
        <f>IF(C2172="","",COUNTA(C$4:C2172))</f>
        <v>2150</v>
      </c>
      <c r="B2172" s="1" t="s">
        <v>4162</v>
      </c>
      <c r="C2172" s="1" t="s">
        <v>4163</v>
      </c>
      <c r="E2172">
        <f t="shared" si="33"/>
        <v>0</v>
      </c>
    </row>
    <row r="2173" spans="1:5">
      <c r="A2173" s="1">
        <f>IF(C2173="","",COUNTA(C$4:C2173))</f>
        <v>2151</v>
      </c>
      <c r="B2173" s="1" t="s">
        <v>3040</v>
      </c>
      <c r="C2173" s="1" t="s">
        <v>4164</v>
      </c>
      <c r="E2173">
        <f t="shared" si="33"/>
        <v>0</v>
      </c>
    </row>
    <row r="2174" spans="1:5">
      <c r="A2174" s="1">
        <f>IF(C2174="","",COUNTA(C$4:C2174))</f>
        <v>2152</v>
      </c>
      <c r="B2174" s="1" t="s">
        <v>4165</v>
      </c>
      <c r="C2174" s="1" t="s">
        <v>4166</v>
      </c>
      <c r="E2174">
        <f t="shared" si="33"/>
        <v>0</v>
      </c>
    </row>
    <row r="2175" spans="1:5">
      <c r="A2175" s="1">
        <f>IF(C2175="","",COUNTA(C$4:C2175))</f>
        <v>2153</v>
      </c>
      <c r="B2175" s="1" t="s">
        <v>4167</v>
      </c>
      <c r="C2175" s="1" t="s">
        <v>4168</v>
      </c>
      <c r="E2175">
        <f t="shared" si="33"/>
        <v>0</v>
      </c>
    </row>
    <row r="2176" spans="1:5">
      <c r="A2176" s="1">
        <f>IF(C2176="","",COUNTA(C$4:C2176))</f>
        <v>2154</v>
      </c>
      <c r="B2176" s="1" t="s">
        <v>4169</v>
      </c>
      <c r="C2176" s="1" t="s">
        <v>4170</v>
      </c>
      <c r="E2176">
        <f t="shared" si="33"/>
        <v>0</v>
      </c>
    </row>
    <row r="2177" spans="1:5">
      <c r="A2177" s="1">
        <f>IF(C2177="","",COUNTA(C$4:C2177))</f>
        <v>2155</v>
      </c>
      <c r="B2177" s="1" t="s">
        <v>4171</v>
      </c>
      <c r="C2177" s="1" t="s">
        <v>4172</v>
      </c>
      <c r="E2177">
        <f t="shared" si="33"/>
        <v>0</v>
      </c>
    </row>
    <row r="2178" spans="1:5">
      <c r="A2178" s="1">
        <f>IF(C2178="","",COUNTA(C$4:C2178))</f>
        <v>2156</v>
      </c>
      <c r="B2178" s="1" t="s">
        <v>4173</v>
      </c>
      <c r="C2178" s="1" t="s">
        <v>4174</v>
      </c>
      <c r="E2178">
        <f t="shared" si="33"/>
        <v>0</v>
      </c>
    </row>
    <row r="2179" spans="1:5">
      <c r="A2179" s="1">
        <f>IF(C2179="","",COUNTA(C$4:C2179))</f>
        <v>2157</v>
      </c>
      <c r="B2179" s="1" t="s">
        <v>4175</v>
      </c>
      <c r="C2179" s="1" t="s">
        <v>4176</v>
      </c>
      <c r="E2179">
        <f t="shared" si="33"/>
        <v>0</v>
      </c>
    </row>
    <row r="2180" spans="1:5">
      <c r="A2180" s="1">
        <f>IF(C2180="","",COUNTA(C$4:C2180))</f>
        <v>2158</v>
      </c>
      <c r="B2180" s="1" t="s">
        <v>4177</v>
      </c>
      <c r="C2180" s="1" t="s">
        <v>4178</v>
      </c>
      <c r="E2180">
        <f t="shared" si="33"/>
        <v>0</v>
      </c>
    </row>
    <row r="2181" spans="1:5">
      <c r="A2181" s="1">
        <f>IF(C2181="","",COUNTA(C$4:C2181))</f>
        <v>2159</v>
      </c>
      <c r="B2181" s="1" t="s">
        <v>4179</v>
      </c>
      <c r="C2181" s="1" t="s">
        <v>4180</v>
      </c>
      <c r="E2181">
        <f t="shared" ref="E2181:E2244" si="34">IF(C2181=D2181,1,0)</f>
        <v>0</v>
      </c>
    </row>
    <row r="2182" spans="1:5">
      <c r="A2182" s="1">
        <f>IF(C2182="","",COUNTA(C$4:C2182))</f>
        <v>2160</v>
      </c>
      <c r="B2182" s="1" t="s">
        <v>4181</v>
      </c>
      <c r="C2182" s="1" t="s">
        <v>4182</v>
      </c>
      <c r="E2182">
        <f t="shared" si="34"/>
        <v>0</v>
      </c>
    </row>
    <row r="2183" spans="1:5">
      <c r="A2183" s="1">
        <f>IF(C2183="","",COUNTA(C$4:C2183))</f>
        <v>2161</v>
      </c>
      <c r="B2183" s="1" t="s">
        <v>4183</v>
      </c>
      <c r="C2183" s="1" t="s">
        <v>4184</v>
      </c>
      <c r="E2183">
        <f t="shared" si="34"/>
        <v>0</v>
      </c>
    </row>
    <row r="2184" spans="1:5">
      <c r="A2184" s="1">
        <f>IF(C2184="","",COUNTA(C$4:C2184))</f>
        <v>2162</v>
      </c>
      <c r="B2184" s="1" t="s">
        <v>4185</v>
      </c>
      <c r="C2184" s="1" t="s">
        <v>4186</v>
      </c>
      <c r="E2184">
        <f t="shared" si="34"/>
        <v>0</v>
      </c>
    </row>
    <row r="2185" spans="1:5">
      <c r="A2185" s="1">
        <f>IF(C2185="","",COUNTA(C$4:C2185))</f>
        <v>2163</v>
      </c>
      <c r="B2185" s="1" t="s">
        <v>4187</v>
      </c>
      <c r="C2185" s="1" t="s">
        <v>4188</v>
      </c>
      <c r="E2185">
        <f t="shared" si="34"/>
        <v>0</v>
      </c>
    </row>
    <row r="2186" spans="1:5">
      <c r="A2186" s="1">
        <f>IF(C2186="","",COUNTA(C$4:C2186))</f>
        <v>2164</v>
      </c>
      <c r="B2186" s="1" t="s">
        <v>4189</v>
      </c>
      <c r="C2186" s="1" t="s">
        <v>4190</v>
      </c>
      <c r="E2186">
        <f t="shared" si="34"/>
        <v>0</v>
      </c>
    </row>
    <row r="2187" spans="1:5">
      <c r="A2187" s="1">
        <f>IF(C2187="","",COUNTA(C$4:C2187))</f>
        <v>2165</v>
      </c>
      <c r="B2187" s="1" t="s">
        <v>4191</v>
      </c>
      <c r="C2187" s="1" t="s">
        <v>4192</v>
      </c>
      <c r="E2187">
        <f t="shared" si="34"/>
        <v>0</v>
      </c>
    </row>
    <row r="2188" spans="1:5">
      <c r="A2188" s="1">
        <f>IF(C2188="","",COUNTA(C$4:C2188))</f>
        <v>2166</v>
      </c>
      <c r="B2188" s="1" t="s">
        <v>4193</v>
      </c>
      <c r="C2188" s="1" t="s">
        <v>4194</v>
      </c>
      <c r="E2188">
        <f t="shared" si="34"/>
        <v>0</v>
      </c>
    </row>
    <row r="2189" spans="1:5">
      <c r="A2189" s="1">
        <f>IF(C2189="","",COUNTA(C$4:C2189))</f>
        <v>2167</v>
      </c>
      <c r="B2189" s="1" t="s">
        <v>4195</v>
      </c>
      <c r="C2189" s="1" t="s">
        <v>4196</v>
      </c>
      <c r="E2189">
        <f t="shared" si="34"/>
        <v>0</v>
      </c>
    </row>
    <row r="2190" spans="1:5">
      <c r="A2190" s="1">
        <f>IF(C2190="","",COUNTA(C$4:C2190))</f>
        <v>2168</v>
      </c>
      <c r="B2190" s="1" t="s">
        <v>4197</v>
      </c>
      <c r="C2190" s="3" t="s">
        <v>4198</v>
      </c>
      <c r="E2190">
        <f t="shared" si="34"/>
        <v>0</v>
      </c>
    </row>
    <row r="2191" spans="1:5">
      <c r="A2191" s="1">
        <f>IF(C2191="","",COUNTA(C$4:C2191))</f>
        <v>2169</v>
      </c>
      <c r="B2191" s="1" t="s">
        <v>4199</v>
      </c>
      <c r="C2191" s="1" t="s">
        <v>4200</v>
      </c>
      <c r="E2191">
        <f t="shared" si="34"/>
        <v>0</v>
      </c>
    </row>
    <row r="2192" spans="1:5">
      <c r="A2192" s="1">
        <f>IF(C2192="","",COUNTA(C$4:C2192))</f>
        <v>2170</v>
      </c>
      <c r="B2192" s="1" t="s">
        <v>4201</v>
      </c>
      <c r="C2192" s="1" t="s">
        <v>4202</v>
      </c>
      <c r="E2192">
        <f t="shared" si="34"/>
        <v>0</v>
      </c>
    </row>
    <row r="2193" spans="1:5">
      <c r="A2193" s="1">
        <f>IF(C2193="","",COUNTA(C$4:C2193))</f>
        <v>2171</v>
      </c>
      <c r="B2193" s="1" t="s">
        <v>4203</v>
      </c>
      <c r="C2193" s="1" t="s">
        <v>4204</v>
      </c>
      <c r="E2193">
        <f t="shared" si="34"/>
        <v>0</v>
      </c>
    </row>
    <row r="2194" spans="1:5">
      <c r="A2194" s="1">
        <f>IF(C2194="","",COUNTA(C$4:C2194))</f>
        <v>2172</v>
      </c>
      <c r="B2194" s="1" t="s">
        <v>4205</v>
      </c>
      <c r="C2194" s="1" t="s">
        <v>4206</v>
      </c>
      <c r="E2194">
        <f t="shared" si="34"/>
        <v>0</v>
      </c>
    </row>
    <row r="2195" spans="1:5">
      <c r="A2195" s="1">
        <f>IF(C2195="","",COUNTA(C$4:C2195))</f>
        <v>2173</v>
      </c>
      <c r="B2195" s="1" t="s">
        <v>4207</v>
      </c>
      <c r="C2195" s="1" t="s">
        <v>4208</v>
      </c>
      <c r="E2195">
        <f t="shared" si="34"/>
        <v>0</v>
      </c>
    </row>
    <row r="2196" spans="1:5">
      <c r="A2196" s="1">
        <f>IF(C2196="","",COUNTA(C$4:C2196))</f>
        <v>2174</v>
      </c>
      <c r="B2196" s="1" t="s">
        <v>4209</v>
      </c>
      <c r="C2196" s="1" t="s">
        <v>4210</v>
      </c>
      <c r="E2196">
        <f t="shared" si="34"/>
        <v>0</v>
      </c>
    </row>
    <row r="2197" spans="1:5">
      <c r="A2197" s="1">
        <f>IF(C2197="","",COUNTA(C$4:C2197))</f>
        <v>2175</v>
      </c>
      <c r="B2197" s="1" t="s">
        <v>4211</v>
      </c>
      <c r="C2197" s="1" t="s">
        <v>4212</v>
      </c>
      <c r="E2197">
        <f t="shared" si="34"/>
        <v>0</v>
      </c>
    </row>
    <row r="2198" spans="1:5">
      <c r="A2198" s="1">
        <f>IF(C2198="","",COUNTA(C$4:C2198))</f>
        <v>2176</v>
      </c>
      <c r="B2198" s="1" t="s">
        <v>4213</v>
      </c>
      <c r="C2198" s="1" t="s">
        <v>4214</v>
      </c>
      <c r="E2198">
        <f t="shared" si="34"/>
        <v>0</v>
      </c>
    </row>
    <row r="2199" spans="1:5">
      <c r="A2199" s="1">
        <f>IF(C2199="","",COUNTA(C$4:C2199))</f>
        <v>2177</v>
      </c>
      <c r="B2199" s="1" t="s">
        <v>4215</v>
      </c>
      <c r="C2199" s="1" t="s">
        <v>4216</v>
      </c>
      <c r="E2199">
        <f t="shared" si="34"/>
        <v>0</v>
      </c>
    </row>
    <row r="2200" spans="1:5">
      <c r="A2200" s="1">
        <f>IF(C2200="","",COUNTA(C$4:C2200))</f>
        <v>2178</v>
      </c>
      <c r="B2200" s="1" t="s">
        <v>4217</v>
      </c>
      <c r="C2200" s="1" t="s">
        <v>4218</v>
      </c>
      <c r="E2200">
        <f t="shared" si="34"/>
        <v>0</v>
      </c>
    </row>
    <row r="2201" spans="1:5">
      <c r="A2201" s="1">
        <f>IF(C2201="","",COUNTA(C$4:C2201))</f>
        <v>2179</v>
      </c>
      <c r="B2201" s="1" t="s">
        <v>4219</v>
      </c>
      <c r="C2201" s="1" t="s">
        <v>4220</v>
      </c>
      <c r="E2201">
        <f t="shared" si="34"/>
        <v>0</v>
      </c>
    </row>
    <row r="2202" spans="1:5">
      <c r="A2202" s="1">
        <f>IF(C2202="","",COUNTA(C$4:C2202))</f>
        <v>2180</v>
      </c>
      <c r="B2202" s="1" t="s">
        <v>4221</v>
      </c>
      <c r="C2202" s="1" t="s">
        <v>4222</v>
      </c>
      <c r="E2202">
        <f t="shared" si="34"/>
        <v>0</v>
      </c>
    </row>
    <row r="2203" spans="1:5">
      <c r="A2203" s="1">
        <f>IF(C2203="","",COUNTA(C$4:C2203))</f>
        <v>2181</v>
      </c>
      <c r="B2203" s="1" t="s">
        <v>4223</v>
      </c>
      <c r="C2203" s="1" t="s">
        <v>4224</v>
      </c>
      <c r="E2203">
        <f t="shared" si="34"/>
        <v>0</v>
      </c>
    </row>
    <row r="2204" spans="1:5">
      <c r="A2204" s="1">
        <f>IF(C2204="","",COUNTA(C$4:C2204))</f>
        <v>2182</v>
      </c>
      <c r="B2204" s="1" t="s">
        <v>4225</v>
      </c>
      <c r="C2204" s="1" t="s">
        <v>4226</v>
      </c>
      <c r="E2204">
        <f t="shared" si="34"/>
        <v>0</v>
      </c>
    </row>
    <row r="2205" spans="1:5">
      <c r="A2205" s="1">
        <f>IF(C2205="","",COUNTA(C$4:C2205))</f>
        <v>2183</v>
      </c>
      <c r="B2205" s="1" t="s">
        <v>4227</v>
      </c>
      <c r="C2205" s="1" t="s">
        <v>4228</v>
      </c>
      <c r="E2205">
        <f t="shared" si="34"/>
        <v>0</v>
      </c>
    </row>
    <row r="2206" spans="1:5">
      <c r="A2206" s="1">
        <f>IF(C2206="","",COUNTA(C$4:C2206))</f>
        <v>2184</v>
      </c>
      <c r="B2206" s="1" t="s">
        <v>4229</v>
      </c>
      <c r="C2206" s="1" t="s">
        <v>4230</v>
      </c>
      <c r="E2206">
        <f t="shared" si="34"/>
        <v>0</v>
      </c>
    </row>
    <row r="2207" spans="1:5">
      <c r="A2207" s="1">
        <f>IF(C2207="","",COUNTA(C$4:C2207))</f>
        <v>2185</v>
      </c>
      <c r="B2207" s="1" t="s">
        <v>3592</v>
      </c>
      <c r="C2207" s="1" t="s">
        <v>4231</v>
      </c>
      <c r="E2207">
        <f t="shared" si="34"/>
        <v>0</v>
      </c>
    </row>
    <row r="2208" spans="1:5">
      <c r="A2208" s="1">
        <f>IF(C2208="","",COUNTA(C$4:C2208))</f>
        <v>2186</v>
      </c>
      <c r="B2208" s="1" t="s">
        <v>4232</v>
      </c>
      <c r="C2208" s="1" t="s">
        <v>4233</v>
      </c>
      <c r="E2208">
        <f t="shared" si="34"/>
        <v>0</v>
      </c>
    </row>
    <row r="2209" spans="1:5">
      <c r="A2209" s="1">
        <f>IF(C2209="","",COUNTA(C$4:C2209))</f>
        <v>2187</v>
      </c>
      <c r="B2209" s="1" t="s">
        <v>4234</v>
      </c>
      <c r="C2209" s="1" t="s">
        <v>4235</v>
      </c>
      <c r="E2209">
        <f t="shared" si="34"/>
        <v>0</v>
      </c>
    </row>
    <row r="2210" spans="1:5">
      <c r="A2210" s="1">
        <f>IF(C2210="","",COUNTA(C$4:C2210))</f>
        <v>2188</v>
      </c>
      <c r="B2210" s="1" t="s">
        <v>4236</v>
      </c>
      <c r="C2210" s="1" t="s">
        <v>4237</v>
      </c>
      <c r="E2210">
        <f t="shared" si="34"/>
        <v>0</v>
      </c>
    </row>
    <row r="2211" spans="1:5">
      <c r="A2211" s="1">
        <f>IF(C2211="","",COUNTA(C$4:C2211))</f>
        <v>2189</v>
      </c>
      <c r="B2211" s="1" t="s">
        <v>4238</v>
      </c>
      <c r="C2211" s="1" t="s">
        <v>4239</v>
      </c>
      <c r="E2211">
        <f t="shared" si="34"/>
        <v>0</v>
      </c>
    </row>
    <row r="2212" spans="1:5">
      <c r="A2212" s="1">
        <f>IF(C2212="","",COUNTA(C$4:C2212))</f>
        <v>2190</v>
      </c>
      <c r="B2212" s="1" t="s">
        <v>2904</v>
      </c>
      <c r="C2212" s="1" t="s">
        <v>4240</v>
      </c>
      <c r="E2212">
        <f t="shared" si="34"/>
        <v>0</v>
      </c>
    </row>
    <row r="2213" spans="1:5">
      <c r="A2213" s="1">
        <f>IF(C2213="","",COUNTA(C$4:C2213))</f>
        <v>2191</v>
      </c>
      <c r="B2213" s="1" t="s">
        <v>4241</v>
      </c>
      <c r="C2213" s="1" t="s">
        <v>4242</v>
      </c>
      <c r="E2213">
        <f t="shared" si="34"/>
        <v>0</v>
      </c>
    </row>
    <row r="2214" spans="1:5">
      <c r="A2214" s="1">
        <f>IF(C2214="","",COUNTA(C$4:C2214))</f>
        <v>2192</v>
      </c>
      <c r="B2214" s="1" t="s">
        <v>4243</v>
      </c>
      <c r="C2214" s="1" t="s">
        <v>4244</v>
      </c>
      <c r="E2214">
        <f t="shared" si="34"/>
        <v>0</v>
      </c>
    </row>
    <row r="2215" spans="1:5">
      <c r="A2215" s="1">
        <f>IF(C2215="","",COUNTA(C$4:C2215))</f>
        <v>2193</v>
      </c>
      <c r="B2215" s="1" t="s">
        <v>4245</v>
      </c>
      <c r="C2215" s="1" t="s">
        <v>4246</v>
      </c>
      <c r="E2215">
        <f t="shared" si="34"/>
        <v>0</v>
      </c>
    </row>
    <row r="2216" spans="1:5">
      <c r="A2216" s="1">
        <f>IF(C2216="","",COUNTA(C$4:C2216))</f>
        <v>2194</v>
      </c>
      <c r="B2216" s="1" t="s">
        <v>4247</v>
      </c>
      <c r="C2216" s="1" t="s">
        <v>4248</v>
      </c>
      <c r="E2216">
        <f t="shared" si="34"/>
        <v>0</v>
      </c>
    </row>
    <row r="2217" spans="1:5">
      <c r="A2217" s="1">
        <f>IF(C2217="","",COUNTA(C$4:C2217))</f>
        <v>2195</v>
      </c>
      <c r="B2217" s="1" t="s">
        <v>4249</v>
      </c>
      <c r="C2217" s="1" t="s">
        <v>4250</v>
      </c>
      <c r="E2217">
        <f t="shared" si="34"/>
        <v>0</v>
      </c>
    </row>
    <row r="2218" spans="1:5">
      <c r="A2218" s="1">
        <f>IF(C2218="","",COUNTA(C$4:C2218))</f>
        <v>2196</v>
      </c>
      <c r="B2218" s="1" t="s">
        <v>4251</v>
      </c>
      <c r="C2218" s="1" t="s">
        <v>4252</v>
      </c>
      <c r="E2218">
        <f t="shared" si="34"/>
        <v>0</v>
      </c>
    </row>
    <row r="2219" spans="1:5">
      <c r="A2219" s="1">
        <f>IF(C2219="","",COUNTA(C$4:C2219))</f>
        <v>2197</v>
      </c>
      <c r="B2219" s="1" t="s">
        <v>4253</v>
      </c>
      <c r="C2219" s="1" t="s">
        <v>4254</v>
      </c>
      <c r="E2219">
        <f t="shared" si="34"/>
        <v>0</v>
      </c>
    </row>
    <row r="2220" spans="1:5">
      <c r="A2220" s="1">
        <f>IF(C2220="","",COUNTA(C$4:C2220))</f>
        <v>2198</v>
      </c>
      <c r="B2220" s="1" t="s">
        <v>4255</v>
      </c>
      <c r="C2220" s="1" t="s">
        <v>4256</v>
      </c>
      <c r="E2220">
        <f t="shared" si="34"/>
        <v>0</v>
      </c>
    </row>
    <row r="2221" spans="1:5">
      <c r="A2221" s="1">
        <f>IF(C2221="","",COUNTA(C$4:C2221))</f>
        <v>2199</v>
      </c>
      <c r="B2221" s="1" t="s">
        <v>4257</v>
      </c>
      <c r="C2221" s="1" t="s">
        <v>4258</v>
      </c>
      <c r="E2221">
        <f t="shared" si="34"/>
        <v>0</v>
      </c>
    </row>
    <row r="2222" spans="1:5">
      <c r="A2222" s="1">
        <f>IF(C2222="","",COUNTA(C$4:C2222))</f>
        <v>2200</v>
      </c>
      <c r="B2222" s="1" t="s">
        <v>4259</v>
      </c>
      <c r="C2222" s="1" t="s">
        <v>4260</v>
      </c>
      <c r="E2222">
        <f t="shared" si="34"/>
        <v>0</v>
      </c>
    </row>
    <row r="2223" spans="1:5">
      <c r="A2223" s="1">
        <f>IF(C2223="","",COUNTA(C$4:C2223))</f>
        <v>2201</v>
      </c>
      <c r="B2223" s="1" t="s">
        <v>4261</v>
      </c>
      <c r="C2223" s="1" t="s">
        <v>4262</v>
      </c>
      <c r="E2223">
        <f t="shared" si="34"/>
        <v>0</v>
      </c>
    </row>
    <row r="2224" spans="1:5">
      <c r="A2224" s="1">
        <f>IF(C2224="","",COUNTA(C$4:C2224))</f>
        <v>2202</v>
      </c>
      <c r="B2224" s="1" t="s">
        <v>4263</v>
      </c>
      <c r="C2224" s="1" t="s">
        <v>4264</v>
      </c>
      <c r="E2224">
        <f t="shared" si="34"/>
        <v>0</v>
      </c>
    </row>
    <row r="2225" spans="1:5">
      <c r="A2225" s="1">
        <f>IF(C2225="","",COUNTA(C$4:C2225))</f>
        <v>2203</v>
      </c>
      <c r="B2225" s="1" t="s">
        <v>4265</v>
      </c>
      <c r="C2225" s="1" t="s">
        <v>4266</v>
      </c>
      <c r="E2225">
        <f t="shared" si="34"/>
        <v>0</v>
      </c>
    </row>
    <row r="2226" spans="1:5">
      <c r="A2226" s="1">
        <f>IF(C2226="","",COUNTA(C$4:C2226))</f>
        <v>2204</v>
      </c>
      <c r="B2226" s="1" t="s">
        <v>4267</v>
      </c>
      <c r="C2226" s="1" t="s">
        <v>4268</v>
      </c>
      <c r="E2226">
        <f t="shared" si="34"/>
        <v>0</v>
      </c>
    </row>
    <row r="2227" spans="1:5">
      <c r="A2227" s="1">
        <f>IF(C2227="","",COUNTA(C$4:C2227))</f>
        <v>2205</v>
      </c>
      <c r="B2227" s="1" t="s">
        <v>4269</v>
      </c>
      <c r="C2227" s="1" t="s">
        <v>4270</v>
      </c>
      <c r="E2227">
        <f t="shared" si="34"/>
        <v>0</v>
      </c>
    </row>
    <row r="2228" spans="1:5">
      <c r="A2228" s="1">
        <f>IF(C2228="","",COUNTA(C$4:C2228))</f>
        <v>2206</v>
      </c>
      <c r="B2228" s="1" t="s">
        <v>3850</v>
      </c>
      <c r="C2228" s="1" t="s">
        <v>4271</v>
      </c>
      <c r="E2228">
        <f t="shared" si="34"/>
        <v>0</v>
      </c>
    </row>
    <row r="2229" spans="1:5">
      <c r="A2229" s="1">
        <f>IF(C2229="","",COUNTA(C$4:C2229))</f>
        <v>2207</v>
      </c>
      <c r="B2229" s="1" t="s">
        <v>4272</v>
      </c>
      <c r="C2229" s="1" t="s">
        <v>4273</v>
      </c>
      <c r="E2229">
        <f t="shared" si="34"/>
        <v>0</v>
      </c>
    </row>
    <row r="2230" spans="1:5">
      <c r="A2230" s="1">
        <f>IF(C2230="","",COUNTA(C$4:C2230))</f>
        <v>2208</v>
      </c>
      <c r="B2230" s="1" t="s">
        <v>4274</v>
      </c>
      <c r="C2230" s="1" t="s">
        <v>4275</v>
      </c>
      <c r="E2230">
        <f t="shared" si="34"/>
        <v>0</v>
      </c>
    </row>
    <row r="2231" spans="1:5">
      <c r="A2231" s="1">
        <f>IF(C2231="","",COUNTA(C$4:C2231))</f>
        <v>2209</v>
      </c>
      <c r="B2231" s="1" t="s">
        <v>4276</v>
      </c>
      <c r="C2231" s="1" t="s">
        <v>4277</v>
      </c>
      <c r="E2231">
        <f t="shared" si="34"/>
        <v>0</v>
      </c>
    </row>
    <row r="2232" spans="1:5">
      <c r="A2232" s="1">
        <f>IF(C2232="","",COUNTA(C$4:C2232))</f>
        <v>2210</v>
      </c>
      <c r="B2232" s="1" t="s">
        <v>4278</v>
      </c>
      <c r="C2232" s="1" t="s">
        <v>4279</v>
      </c>
      <c r="E2232">
        <f t="shared" si="34"/>
        <v>0</v>
      </c>
    </row>
    <row r="2233" spans="1:5">
      <c r="A2233" s="1">
        <f>IF(C2233="","",COUNTA(C$4:C2233))</f>
        <v>2211</v>
      </c>
      <c r="B2233" s="1" t="s">
        <v>4280</v>
      </c>
      <c r="C2233" s="1" t="s">
        <v>4281</v>
      </c>
      <c r="E2233">
        <f t="shared" si="34"/>
        <v>0</v>
      </c>
    </row>
    <row r="2234" spans="1:5">
      <c r="A2234" s="1">
        <f>IF(C2234="","",COUNTA(C$4:C2234))</f>
        <v>2212</v>
      </c>
      <c r="B2234" s="1" t="s">
        <v>4282</v>
      </c>
      <c r="C2234" s="3" t="s">
        <v>4283</v>
      </c>
      <c r="E2234">
        <f t="shared" si="34"/>
        <v>0</v>
      </c>
    </row>
    <row r="2235" spans="1:5">
      <c r="A2235" s="1">
        <f>IF(C2235="","",COUNTA(C$4:C2235))</f>
        <v>2213</v>
      </c>
      <c r="B2235" s="1" t="s">
        <v>4284</v>
      </c>
      <c r="C2235" s="1" t="s">
        <v>4285</v>
      </c>
      <c r="E2235">
        <f t="shared" si="34"/>
        <v>0</v>
      </c>
    </row>
    <row r="2236" spans="1:5">
      <c r="A2236" s="1">
        <f>IF(C2236="","",COUNTA(C$4:C2236))</f>
        <v>2214</v>
      </c>
      <c r="B2236" s="1" t="s">
        <v>4286</v>
      </c>
      <c r="C2236" s="1" t="s">
        <v>4287</v>
      </c>
      <c r="E2236">
        <f t="shared" si="34"/>
        <v>0</v>
      </c>
    </row>
    <row r="2237" spans="1:5">
      <c r="A2237" s="1">
        <f>IF(C2237="","",COUNTA(C$4:C2237))</f>
        <v>2215</v>
      </c>
      <c r="B2237" s="1" t="s">
        <v>4288</v>
      </c>
      <c r="C2237" s="1" t="s">
        <v>4289</v>
      </c>
      <c r="E2237">
        <f t="shared" si="34"/>
        <v>0</v>
      </c>
    </row>
    <row r="2238" spans="1:5">
      <c r="A2238" s="1">
        <f>IF(C2238="","",COUNTA(C$4:C2238))</f>
        <v>2216</v>
      </c>
      <c r="B2238" s="1" t="s">
        <v>4290</v>
      </c>
      <c r="C2238" s="1" t="s">
        <v>4291</v>
      </c>
      <c r="E2238">
        <f t="shared" si="34"/>
        <v>0</v>
      </c>
    </row>
    <row r="2239" spans="1:5">
      <c r="A2239" s="1">
        <f>IF(C2239="","",COUNTA(C$4:C2239))</f>
        <v>2217</v>
      </c>
      <c r="B2239" s="1" t="s">
        <v>4292</v>
      </c>
      <c r="C2239" s="1" t="s">
        <v>4293</v>
      </c>
      <c r="E2239">
        <f t="shared" si="34"/>
        <v>0</v>
      </c>
    </row>
    <row r="2240" spans="1:5">
      <c r="A2240" s="1">
        <f>IF(C2240="","",COUNTA(C$4:C2240))</f>
        <v>2218</v>
      </c>
      <c r="B2240" s="1" t="s">
        <v>4294</v>
      </c>
      <c r="C2240" s="1" t="s">
        <v>4295</v>
      </c>
      <c r="E2240">
        <f t="shared" si="34"/>
        <v>0</v>
      </c>
    </row>
    <row r="2241" spans="1:5">
      <c r="A2241" s="1">
        <f>IF(C2241="","",COUNTA(C$4:C2241))</f>
        <v>2219</v>
      </c>
      <c r="B2241" s="1" t="s">
        <v>4296</v>
      </c>
      <c r="C2241" s="1" t="s">
        <v>4297</v>
      </c>
      <c r="E2241">
        <f t="shared" si="34"/>
        <v>0</v>
      </c>
    </row>
    <row r="2242" spans="1:5">
      <c r="A2242" s="1">
        <f>IF(C2242="","",COUNTA(C$4:C2242))</f>
        <v>2220</v>
      </c>
      <c r="B2242" s="1" t="s">
        <v>4298</v>
      </c>
      <c r="C2242" s="1" t="s">
        <v>4299</v>
      </c>
      <c r="E2242">
        <f t="shared" si="34"/>
        <v>0</v>
      </c>
    </row>
    <row r="2243" spans="1:5">
      <c r="A2243" s="1">
        <f>IF(C2243="","",COUNTA(C$4:C2243))</f>
        <v>2221</v>
      </c>
      <c r="B2243" s="1" t="s">
        <v>4300</v>
      </c>
      <c r="C2243" s="1" t="s">
        <v>4301</v>
      </c>
      <c r="E2243">
        <f t="shared" si="34"/>
        <v>0</v>
      </c>
    </row>
    <row r="2244" spans="1:5">
      <c r="A2244" s="1">
        <f>IF(C2244="","",COUNTA(C$4:C2244))</f>
        <v>2222</v>
      </c>
      <c r="B2244" s="1" t="s">
        <v>4302</v>
      </c>
      <c r="C2244" s="1" t="s">
        <v>4303</v>
      </c>
      <c r="E2244">
        <f t="shared" si="34"/>
        <v>0</v>
      </c>
    </row>
    <row r="2245" spans="1:5">
      <c r="A2245" s="1">
        <f>IF(C2245="","",COUNTA(C$4:C2245))</f>
        <v>2223</v>
      </c>
      <c r="B2245" s="1" t="s">
        <v>4304</v>
      </c>
      <c r="C2245" s="1" t="s">
        <v>4305</v>
      </c>
      <c r="E2245">
        <f t="shared" ref="E2245:E2308" si="35">IF(C2245=D2245,1,0)</f>
        <v>0</v>
      </c>
    </row>
    <row r="2246" spans="1:5">
      <c r="A2246" s="1">
        <f>IF(C2246="","",COUNTA(C$4:C2246))</f>
        <v>2224</v>
      </c>
      <c r="B2246" s="1" t="s">
        <v>4306</v>
      </c>
      <c r="C2246" s="1" t="s">
        <v>4307</v>
      </c>
      <c r="E2246">
        <f t="shared" si="35"/>
        <v>0</v>
      </c>
    </row>
    <row r="2247" spans="1:5">
      <c r="A2247" s="1">
        <f>IF(C2247="","",COUNTA(C$4:C2247))</f>
        <v>2225</v>
      </c>
      <c r="B2247" s="1" t="s">
        <v>4308</v>
      </c>
      <c r="C2247" s="1" t="s">
        <v>4309</v>
      </c>
      <c r="E2247">
        <f t="shared" si="35"/>
        <v>0</v>
      </c>
    </row>
    <row r="2248" spans="1:5">
      <c r="A2248" s="1">
        <f>IF(C2248="","",COUNTA(C$4:C2248))</f>
        <v>2226</v>
      </c>
      <c r="B2248" s="1" t="s">
        <v>4310</v>
      </c>
      <c r="C2248" s="1" t="s">
        <v>4311</v>
      </c>
      <c r="E2248">
        <f t="shared" si="35"/>
        <v>0</v>
      </c>
    </row>
    <row r="2249" spans="1:5">
      <c r="A2249" s="1">
        <f>IF(C2249="","",COUNTA(C$4:C2249))</f>
        <v>2227</v>
      </c>
      <c r="B2249" s="1" t="s">
        <v>4312</v>
      </c>
      <c r="C2249" s="3" t="s">
        <v>4313</v>
      </c>
      <c r="E2249">
        <f t="shared" si="35"/>
        <v>0</v>
      </c>
    </row>
    <row r="2250" spans="1:5">
      <c r="A2250" s="1">
        <f>IF(C2250="","",COUNTA(C$4:C2250))</f>
        <v>2228</v>
      </c>
      <c r="B2250" s="1" t="s">
        <v>4314</v>
      </c>
      <c r="C2250" s="1" t="s">
        <v>4315</v>
      </c>
      <c r="E2250">
        <f t="shared" si="35"/>
        <v>0</v>
      </c>
    </row>
    <row r="2251" spans="1:5">
      <c r="A2251" s="1">
        <f>IF(C2251="","",COUNTA(C$4:C2251))</f>
        <v>2229</v>
      </c>
      <c r="B2251" s="1" t="s">
        <v>4316</v>
      </c>
      <c r="C2251" s="1" t="s">
        <v>4317</v>
      </c>
      <c r="E2251">
        <f t="shared" si="35"/>
        <v>0</v>
      </c>
    </row>
    <row r="2252" spans="1:5">
      <c r="A2252" s="1">
        <f>IF(C2252="","",COUNTA(C$4:C2252))</f>
        <v>2230</v>
      </c>
      <c r="B2252" s="1" t="s">
        <v>4318</v>
      </c>
      <c r="C2252" s="1" t="s">
        <v>4319</v>
      </c>
      <c r="E2252">
        <f t="shared" si="35"/>
        <v>0</v>
      </c>
    </row>
    <row r="2253" spans="1:5">
      <c r="A2253" s="1">
        <f>IF(C2253="","",COUNTA(C$4:C2253))</f>
        <v>2231</v>
      </c>
      <c r="B2253" s="1" t="s">
        <v>4320</v>
      </c>
      <c r="C2253" s="1" t="s">
        <v>4321</v>
      </c>
      <c r="E2253">
        <f t="shared" si="35"/>
        <v>0</v>
      </c>
    </row>
    <row r="2254" spans="1:5">
      <c r="A2254" s="1">
        <f>IF(C2254="","",COUNTA(C$4:C2254))</f>
        <v>2232</v>
      </c>
      <c r="B2254" s="1" t="s">
        <v>3087</v>
      </c>
      <c r="C2254" s="1" t="s">
        <v>4322</v>
      </c>
      <c r="E2254">
        <f t="shared" si="35"/>
        <v>0</v>
      </c>
    </row>
    <row r="2255" spans="1:5">
      <c r="A2255" s="1">
        <f>IF(C2255="","",COUNTA(C$4:C2255))</f>
        <v>2233</v>
      </c>
      <c r="B2255" s="1" t="s">
        <v>4323</v>
      </c>
      <c r="C2255" s="1" t="s">
        <v>4324</v>
      </c>
      <c r="E2255">
        <f t="shared" si="35"/>
        <v>0</v>
      </c>
    </row>
    <row r="2256" spans="1:5">
      <c r="A2256" s="1">
        <f>IF(C2256="","",COUNTA(C$4:C2256))</f>
        <v>2234</v>
      </c>
      <c r="B2256" s="1" t="s">
        <v>4325</v>
      </c>
      <c r="C2256" s="1" t="s">
        <v>4326</v>
      </c>
      <c r="E2256">
        <f t="shared" si="35"/>
        <v>0</v>
      </c>
    </row>
    <row r="2257" spans="1:5">
      <c r="A2257" s="1">
        <f>IF(C2257="","",COUNTA(C$4:C2257))</f>
        <v>2235</v>
      </c>
      <c r="B2257" s="1" t="s">
        <v>4327</v>
      </c>
      <c r="C2257" s="1" t="s">
        <v>4328</v>
      </c>
      <c r="E2257">
        <f t="shared" si="35"/>
        <v>0</v>
      </c>
    </row>
    <row r="2258" spans="1:5">
      <c r="A2258" s="1">
        <f>IF(C2258="","",COUNTA(C$4:C2258))</f>
        <v>2236</v>
      </c>
      <c r="B2258" s="1" t="s">
        <v>4329</v>
      </c>
      <c r="C2258" s="1" t="s">
        <v>4330</v>
      </c>
      <c r="E2258">
        <f t="shared" si="35"/>
        <v>0</v>
      </c>
    </row>
    <row r="2259" spans="1:5">
      <c r="A2259" s="1">
        <f>IF(C2259="","",COUNTA(C$4:C2259))</f>
        <v>2237</v>
      </c>
      <c r="B2259" s="1" t="s">
        <v>4331</v>
      </c>
      <c r="C2259" s="1" t="s">
        <v>4332</v>
      </c>
      <c r="E2259">
        <f t="shared" si="35"/>
        <v>0</v>
      </c>
    </row>
    <row r="2260" spans="1:5">
      <c r="A2260" s="1">
        <f>IF(C2260="","",COUNTA(C$4:C2260))</f>
        <v>2238</v>
      </c>
      <c r="B2260" s="1" t="s">
        <v>4333</v>
      </c>
      <c r="C2260" s="1" t="s">
        <v>4334</v>
      </c>
      <c r="E2260">
        <f t="shared" si="35"/>
        <v>0</v>
      </c>
    </row>
    <row r="2261" spans="1:5">
      <c r="A2261" s="1">
        <f>IF(C2261="","",COUNTA(C$4:C2261))</f>
        <v>2239</v>
      </c>
      <c r="B2261" s="1" t="s">
        <v>4335</v>
      </c>
      <c r="C2261" s="1" t="s">
        <v>4336</v>
      </c>
      <c r="E2261">
        <f t="shared" si="35"/>
        <v>0</v>
      </c>
    </row>
    <row r="2262" spans="1:5">
      <c r="A2262" s="1">
        <f>IF(C2262="","",COUNTA(C$4:C2262))</f>
        <v>2240</v>
      </c>
      <c r="B2262" s="1" t="s">
        <v>4337</v>
      </c>
      <c r="C2262" s="1" t="s">
        <v>4338</v>
      </c>
      <c r="E2262">
        <f t="shared" si="35"/>
        <v>0</v>
      </c>
    </row>
    <row r="2263" spans="1:5">
      <c r="A2263" s="1">
        <f>IF(C2263="","",COUNTA(C$4:C2263))</f>
        <v>2241</v>
      </c>
      <c r="B2263" s="1" t="s">
        <v>4339</v>
      </c>
      <c r="C2263" s="1" t="s">
        <v>4340</v>
      </c>
      <c r="E2263">
        <f t="shared" si="35"/>
        <v>0</v>
      </c>
    </row>
    <row r="2264" spans="1:5">
      <c r="A2264" s="1">
        <f>IF(C2264="","",COUNTA(C$4:C2264))</f>
        <v>2242</v>
      </c>
      <c r="B2264" s="1" t="s">
        <v>4341</v>
      </c>
      <c r="C2264" s="1" t="s">
        <v>4342</v>
      </c>
      <c r="E2264">
        <f t="shared" si="35"/>
        <v>0</v>
      </c>
    </row>
    <row r="2265" spans="1:5">
      <c r="A2265" s="1">
        <f>IF(C2265="","",COUNTA(C$4:C2265))</f>
        <v>2243</v>
      </c>
      <c r="B2265" s="1" t="s">
        <v>3737</v>
      </c>
      <c r="C2265" s="1" t="s">
        <v>4343</v>
      </c>
      <c r="E2265">
        <f t="shared" si="35"/>
        <v>0</v>
      </c>
    </row>
    <row r="2266" spans="1:5">
      <c r="A2266" s="1">
        <f>IF(C2266="","",COUNTA(C$4:C2266))</f>
        <v>2244</v>
      </c>
      <c r="B2266" s="1" t="s">
        <v>4344</v>
      </c>
      <c r="C2266" s="1" t="s">
        <v>4345</v>
      </c>
      <c r="E2266">
        <f t="shared" si="35"/>
        <v>0</v>
      </c>
    </row>
    <row r="2267" spans="1:5">
      <c r="A2267" s="1">
        <f>IF(C2267="","",COUNTA(C$4:C2267))</f>
        <v>2245</v>
      </c>
      <c r="B2267" s="1" t="s">
        <v>4346</v>
      </c>
      <c r="C2267" s="1" t="s">
        <v>4347</v>
      </c>
      <c r="E2267">
        <f t="shared" si="35"/>
        <v>0</v>
      </c>
    </row>
    <row r="2268" spans="1:5">
      <c r="A2268" s="1">
        <f>IF(C2268="","",COUNTA(C$4:C2268))</f>
        <v>2246</v>
      </c>
      <c r="B2268" s="1" t="s">
        <v>4348</v>
      </c>
      <c r="C2268" s="1" t="s">
        <v>4349</v>
      </c>
      <c r="E2268">
        <f t="shared" si="35"/>
        <v>0</v>
      </c>
    </row>
    <row r="2269" spans="1:5">
      <c r="A2269" s="1">
        <f>IF(C2269="","",COUNTA(C$4:C2269))</f>
        <v>2247</v>
      </c>
      <c r="B2269" s="1" t="s">
        <v>4350</v>
      </c>
      <c r="C2269" s="1" t="s">
        <v>4351</v>
      </c>
      <c r="E2269">
        <f t="shared" si="35"/>
        <v>0</v>
      </c>
    </row>
    <row r="2270" spans="1:5">
      <c r="A2270" s="1">
        <f>IF(C2270="","",COUNTA(C$4:C2270))</f>
        <v>2248</v>
      </c>
      <c r="B2270" s="1" t="s">
        <v>4352</v>
      </c>
      <c r="C2270" s="1" t="s">
        <v>4353</v>
      </c>
      <c r="E2270">
        <f t="shared" si="35"/>
        <v>0</v>
      </c>
    </row>
    <row r="2271" spans="1:5">
      <c r="A2271" s="1">
        <f>IF(C2271="","",COUNTA(C$4:C2271))</f>
        <v>2249</v>
      </c>
      <c r="B2271" s="1" t="s">
        <v>4354</v>
      </c>
      <c r="C2271" s="1" t="s">
        <v>4355</v>
      </c>
      <c r="E2271">
        <f t="shared" si="35"/>
        <v>0</v>
      </c>
    </row>
    <row r="2272" spans="1:5">
      <c r="A2272" s="1">
        <f>IF(C2272="","",COUNTA(C$4:C2272))</f>
        <v>2250</v>
      </c>
      <c r="B2272" s="1" t="s">
        <v>4356</v>
      </c>
      <c r="C2272" s="1" t="s">
        <v>4357</v>
      </c>
      <c r="E2272">
        <f t="shared" si="35"/>
        <v>0</v>
      </c>
    </row>
    <row r="2273" spans="1:5">
      <c r="A2273" s="1">
        <f>IF(C2273="","",COUNTA(C$4:C2273))</f>
        <v>2251</v>
      </c>
      <c r="B2273" s="1" t="s">
        <v>4358</v>
      </c>
      <c r="C2273" s="1" t="s">
        <v>4359</v>
      </c>
      <c r="E2273">
        <f t="shared" si="35"/>
        <v>0</v>
      </c>
    </row>
    <row r="2274" spans="1:5">
      <c r="A2274" s="1">
        <f>IF(C2274="","",COUNTA(C$4:C2274))</f>
        <v>2252</v>
      </c>
      <c r="B2274" s="1" t="s">
        <v>4360</v>
      </c>
      <c r="C2274" s="1" t="s">
        <v>4361</v>
      </c>
      <c r="E2274">
        <f t="shared" si="35"/>
        <v>0</v>
      </c>
    </row>
    <row r="2275" spans="1:5">
      <c r="A2275" s="1">
        <f>IF(C2275="","",COUNTA(C$4:C2275))</f>
        <v>2253</v>
      </c>
      <c r="B2275" s="1" t="s">
        <v>4362</v>
      </c>
      <c r="C2275" s="1" t="s">
        <v>4363</v>
      </c>
      <c r="E2275">
        <f t="shared" si="35"/>
        <v>0</v>
      </c>
    </row>
    <row r="2276" spans="1:5">
      <c r="A2276" s="1">
        <f>IF(C2276="","",COUNTA(C$4:C2276))</f>
        <v>2254</v>
      </c>
      <c r="B2276" s="1" t="s">
        <v>4364</v>
      </c>
      <c r="C2276" s="1" t="s">
        <v>1269</v>
      </c>
      <c r="E2276">
        <f t="shared" si="35"/>
        <v>0</v>
      </c>
    </row>
    <row r="2277" spans="1:5">
      <c r="A2277" s="1">
        <f>IF(C2277="","",COUNTA(C$4:C2277))</f>
        <v>2255</v>
      </c>
      <c r="B2277" s="1" t="s">
        <v>4364</v>
      </c>
      <c r="C2277" s="1" t="s">
        <v>4365</v>
      </c>
      <c r="E2277">
        <f t="shared" si="35"/>
        <v>0</v>
      </c>
    </row>
    <row r="2278" spans="1:5">
      <c r="A2278" s="1">
        <f>IF(C2278="","",COUNTA(C$4:C2278))</f>
        <v>2256</v>
      </c>
      <c r="B2278" s="1" t="s">
        <v>3286</v>
      </c>
      <c r="C2278" s="1" t="s">
        <v>4366</v>
      </c>
      <c r="E2278">
        <f t="shared" si="35"/>
        <v>0</v>
      </c>
    </row>
    <row r="2279" spans="1:5">
      <c r="A2279" s="1">
        <f>IF(C2279="","",COUNTA(C$4:C2279))</f>
        <v>2257</v>
      </c>
      <c r="B2279" s="1" t="s">
        <v>4367</v>
      </c>
      <c r="C2279" s="3" t="s">
        <v>2689</v>
      </c>
      <c r="E2279">
        <f t="shared" si="35"/>
        <v>0</v>
      </c>
    </row>
    <row r="2280" spans="1:5">
      <c r="A2280" s="1">
        <f>IF(C2280="","",COUNTA(C$4:C2280))</f>
        <v>2258</v>
      </c>
      <c r="B2280" s="1" t="s">
        <v>4368</v>
      </c>
      <c r="C2280" s="1" t="s">
        <v>4369</v>
      </c>
      <c r="E2280">
        <f t="shared" si="35"/>
        <v>0</v>
      </c>
    </row>
    <row r="2281" spans="1:5">
      <c r="A2281" s="1">
        <f>IF(C2281="","",COUNTA(C$4:C2281))</f>
        <v>2259</v>
      </c>
      <c r="B2281" s="1" t="s">
        <v>4370</v>
      </c>
      <c r="C2281" s="1" t="s">
        <v>4371</v>
      </c>
      <c r="E2281">
        <f t="shared" si="35"/>
        <v>0</v>
      </c>
    </row>
    <row r="2282" spans="1:5">
      <c r="A2282" s="1">
        <f>IF(C2282="","",COUNTA(C$4:C2282))</f>
        <v>2260</v>
      </c>
      <c r="B2282" s="1" t="s">
        <v>4372</v>
      </c>
      <c r="C2282" s="1" t="s">
        <v>4373</v>
      </c>
      <c r="E2282">
        <f t="shared" si="35"/>
        <v>0</v>
      </c>
    </row>
    <row r="2283" spans="1:5">
      <c r="A2283" s="1">
        <f>IF(C2283="","",COUNTA(C$4:C2283))</f>
        <v>2261</v>
      </c>
      <c r="B2283" s="1" t="s">
        <v>4374</v>
      </c>
      <c r="C2283" s="1" t="s">
        <v>4375</v>
      </c>
      <c r="E2283">
        <f t="shared" si="35"/>
        <v>0</v>
      </c>
    </row>
    <row r="2284" spans="1:5">
      <c r="A2284" s="1">
        <f>IF(C2284="","",COUNTA(C$4:C2284))</f>
        <v>2262</v>
      </c>
      <c r="B2284" s="1" t="s">
        <v>4376</v>
      </c>
      <c r="C2284" s="1" t="s">
        <v>4377</v>
      </c>
      <c r="E2284">
        <f t="shared" si="35"/>
        <v>0</v>
      </c>
    </row>
    <row r="2285" spans="1:5">
      <c r="A2285" s="1">
        <f>IF(C2285="","",COUNTA(C$4:C2285))</f>
        <v>2263</v>
      </c>
      <c r="B2285" s="1" t="s">
        <v>4378</v>
      </c>
      <c r="C2285" s="1" t="s">
        <v>4379</v>
      </c>
      <c r="E2285">
        <f t="shared" si="35"/>
        <v>0</v>
      </c>
    </row>
    <row r="2286" spans="1:5">
      <c r="A2286" s="12" t="s">
        <v>4380</v>
      </c>
      <c r="B2286" s="13"/>
      <c r="C2286" s="14"/>
      <c r="D2286" s="9"/>
      <c r="E2286">
        <f t="shared" si="35"/>
        <v>1</v>
      </c>
    </row>
    <row r="2287" spans="1:5">
      <c r="A2287" s="1">
        <f>IF(C2287="","",COUNTA(C$4:C2287))</f>
        <v>2264</v>
      </c>
      <c r="B2287" s="1" t="s">
        <v>4381</v>
      </c>
      <c r="C2287" s="1" t="s">
        <v>4382</v>
      </c>
      <c r="E2287">
        <f t="shared" si="35"/>
        <v>0</v>
      </c>
    </row>
    <row r="2288" spans="1:5">
      <c r="A2288" s="1">
        <f>IF(C2288="","",COUNTA(C$4:C2288))</f>
        <v>2265</v>
      </c>
      <c r="B2288" s="1" t="s">
        <v>4383</v>
      </c>
      <c r="C2288" s="1" t="s">
        <v>4384</v>
      </c>
      <c r="E2288">
        <f t="shared" si="35"/>
        <v>0</v>
      </c>
    </row>
    <row r="2289" spans="1:5">
      <c r="A2289" s="1">
        <f>IF(C2289="","",COUNTA(C$4:C2289))</f>
        <v>2266</v>
      </c>
      <c r="B2289" s="1" t="s">
        <v>4385</v>
      </c>
      <c r="C2289" s="1" t="s">
        <v>4386</v>
      </c>
      <c r="E2289">
        <f t="shared" si="35"/>
        <v>0</v>
      </c>
    </row>
    <row r="2290" spans="1:5">
      <c r="A2290" s="1">
        <f>IF(C2290="","",COUNTA(C$4:C2290))</f>
        <v>2267</v>
      </c>
      <c r="B2290" s="1" t="s">
        <v>4387</v>
      </c>
      <c r="C2290" s="1" t="s">
        <v>4388</v>
      </c>
      <c r="E2290">
        <f t="shared" si="35"/>
        <v>0</v>
      </c>
    </row>
    <row r="2291" spans="1:5">
      <c r="A2291" s="1">
        <f>IF(C2291="","",COUNTA(C$4:C2291))</f>
        <v>2268</v>
      </c>
      <c r="B2291" s="1" t="s">
        <v>4389</v>
      </c>
      <c r="C2291" s="1" t="s">
        <v>4390</v>
      </c>
      <c r="E2291">
        <f t="shared" si="35"/>
        <v>0</v>
      </c>
    </row>
    <row r="2292" spans="1:5">
      <c r="A2292" s="1">
        <f>IF(C2292="","",COUNTA(C$4:C2292))</f>
        <v>2269</v>
      </c>
      <c r="B2292" s="1" t="s">
        <v>4391</v>
      </c>
      <c r="C2292" s="1" t="s">
        <v>4392</v>
      </c>
      <c r="E2292">
        <f t="shared" si="35"/>
        <v>0</v>
      </c>
    </row>
    <row r="2293" spans="1:5">
      <c r="A2293" s="1">
        <f>IF(C2293="","",COUNTA(C$4:C2293))</f>
        <v>2270</v>
      </c>
      <c r="B2293" s="1" t="s">
        <v>4393</v>
      </c>
      <c r="C2293" s="1" t="s">
        <v>4394</v>
      </c>
      <c r="E2293">
        <f t="shared" si="35"/>
        <v>0</v>
      </c>
    </row>
    <row r="2294" spans="1:5">
      <c r="A2294" s="1">
        <f>IF(C2294="","",COUNTA(C$4:C2294))</f>
        <v>2271</v>
      </c>
      <c r="B2294" s="1" t="s">
        <v>4395</v>
      </c>
      <c r="C2294" s="1" t="s">
        <v>4396</v>
      </c>
      <c r="E2294">
        <f t="shared" si="35"/>
        <v>0</v>
      </c>
    </row>
    <row r="2295" spans="1:5">
      <c r="A2295" s="1">
        <f>IF(C2295="","",COUNTA(C$4:C2295))</f>
        <v>2272</v>
      </c>
      <c r="B2295" s="1" t="s">
        <v>4397</v>
      </c>
      <c r="C2295" s="1" t="s">
        <v>4398</v>
      </c>
      <c r="E2295">
        <f t="shared" si="35"/>
        <v>0</v>
      </c>
    </row>
    <row r="2296" spans="1:5">
      <c r="A2296" s="1">
        <f>IF(C2296="","",COUNTA(C$4:C2296))</f>
        <v>2273</v>
      </c>
      <c r="B2296" s="1" t="s">
        <v>4399</v>
      </c>
      <c r="C2296" s="1" t="s">
        <v>4400</v>
      </c>
      <c r="E2296">
        <f t="shared" si="35"/>
        <v>0</v>
      </c>
    </row>
    <row r="2297" spans="1:5">
      <c r="A2297" s="1">
        <f>IF(C2297="","",COUNTA(C$4:C2297))</f>
        <v>2274</v>
      </c>
      <c r="B2297" s="1" t="s">
        <v>4401</v>
      </c>
      <c r="C2297" s="1" t="s">
        <v>4402</v>
      </c>
      <c r="E2297">
        <f t="shared" si="35"/>
        <v>0</v>
      </c>
    </row>
    <row r="2298" spans="1:5">
      <c r="A2298" s="1">
        <f>IF(C2298="","",COUNTA(C$4:C2298))</f>
        <v>2275</v>
      </c>
      <c r="B2298" s="1" t="s">
        <v>4403</v>
      </c>
      <c r="C2298" s="1" t="s">
        <v>4404</v>
      </c>
      <c r="E2298">
        <f t="shared" si="35"/>
        <v>0</v>
      </c>
    </row>
    <row r="2299" spans="1:5">
      <c r="A2299" s="1">
        <f>IF(C2299="","",COUNTA(C$4:C2299))</f>
        <v>2276</v>
      </c>
      <c r="B2299" s="1" t="s">
        <v>4405</v>
      </c>
      <c r="C2299" s="1" t="s">
        <v>4406</v>
      </c>
      <c r="E2299">
        <f t="shared" si="35"/>
        <v>0</v>
      </c>
    </row>
    <row r="2300" spans="1:5">
      <c r="A2300" s="1">
        <f>IF(C2300="","",COUNTA(C$4:C2300))</f>
        <v>2277</v>
      </c>
      <c r="B2300" s="3" t="s">
        <v>4407</v>
      </c>
      <c r="C2300" s="1" t="s">
        <v>4408</v>
      </c>
      <c r="E2300">
        <f t="shared" si="35"/>
        <v>0</v>
      </c>
    </row>
    <row r="2301" spans="1:5">
      <c r="A2301" s="1">
        <f>IF(C2301="","",COUNTA(C$4:C2301))</f>
        <v>2278</v>
      </c>
      <c r="B2301" s="1" t="s">
        <v>4409</v>
      </c>
      <c r="C2301" s="1" t="s">
        <v>4410</v>
      </c>
      <c r="E2301">
        <f t="shared" si="35"/>
        <v>0</v>
      </c>
    </row>
    <row r="2302" spans="1:5">
      <c r="A2302" s="1">
        <f>IF(C2302="","",COUNTA(C$4:C2302))</f>
        <v>2279</v>
      </c>
      <c r="B2302" s="1" t="s">
        <v>4411</v>
      </c>
      <c r="C2302" s="1" t="s">
        <v>4412</v>
      </c>
      <c r="E2302">
        <f t="shared" si="35"/>
        <v>0</v>
      </c>
    </row>
    <row r="2303" spans="1:5">
      <c r="A2303" s="1">
        <f>IF(C2303="","",COUNTA(C$4:C2303))</f>
        <v>2280</v>
      </c>
      <c r="B2303" s="1" t="s">
        <v>4413</v>
      </c>
      <c r="C2303" s="1" t="s">
        <v>4414</v>
      </c>
      <c r="E2303">
        <f t="shared" si="35"/>
        <v>0</v>
      </c>
    </row>
    <row r="2304" spans="1:5">
      <c r="A2304" s="1">
        <f>IF(C2304="","",COUNTA(C$4:C2304))</f>
        <v>2281</v>
      </c>
      <c r="B2304" s="1" t="s">
        <v>4415</v>
      </c>
      <c r="C2304" s="1" t="s">
        <v>4416</v>
      </c>
      <c r="E2304">
        <f t="shared" si="35"/>
        <v>0</v>
      </c>
    </row>
    <row r="2305" spans="1:5">
      <c r="A2305" s="1">
        <f>IF(C2305="","",COUNTA(C$4:C2305))</f>
        <v>2282</v>
      </c>
      <c r="B2305" s="1" t="s">
        <v>4417</v>
      </c>
      <c r="C2305" s="1" t="s">
        <v>4418</v>
      </c>
      <c r="E2305">
        <f t="shared" si="35"/>
        <v>0</v>
      </c>
    </row>
    <row r="2306" spans="1:5">
      <c r="A2306" s="1">
        <f>IF(C2306="","",COUNTA(C$4:C2306))</f>
        <v>2283</v>
      </c>
      <c r="B2306" s="1" t="s">
        <v>4419</v>
      </c>
      <c r="C2306" s="1" t="s">
        <v>4420</v>
      </c>
      <c r="E2306">
        <f t="shared" si="35"/>
        <v>0</v>
      </c>
    </row>
    <row r="2307" spans="1:5">
      <c r="A2307" s="1">
        <f>IF(C2307="","",COUNTA(C$4:C2307))</f>
        <v>2284</v>
      </c>
      <c r="B2307" s="1" t="s">
        <v>4421</v>
      </c>
      <c r="C2307" s="1" t="s">
        <v>4422</v>
      </c>
      <c r="E2307">
        <f t="shared" si="35"/>
        <v>0</v>
      </c>
    </row>
    <row r="2308" spans="1:5">
      <c r="A2308" s="1">
        <f>IF(C2308="","",COUNTA(C$4:C2308))</f>
        <v>2285</v>
      </c>
      <c r="B2308" s="1" t="s">
        <v>4423</v>
      </c>
      <c r="C2308" s="1" t="s">
        <v>4424</v>
      </c>
      <c r="E2308">
        <f t="shared" si="35"/>
        <v>0</v>
      </c>
    </row>
    <row r="2309" spans="1:5">
      <c r="A2309" s="1">
        <f>IF(C2309="","",COUNTA(C$4:C2309))</f>
        <v>2286</v>
      </c>
      <c r="B2309" s="1" t="s">
        <v>4425</v>
      </c>
      <c r="C2309" s="1" t="s">
        <v>4426</v>
      </c>
      <c r="E2309">
        <f t="shared" ref="E2309:E2372" si="36">IF(C2309=D2309,1,0)</f>
        <v>0</v>
      </c>
    </row>
    <row r="2310" spans="1:5">
      <c r="A2310" s="1">
        <f>IF(C2310="","",COUNTA(C$4:C2310))</f>
        <v>2287</v>
      </c>
      <c r="B2310" s="1" t="s">
        <v>3040</v>
      </c>
      <c r="C2310" s="1" t="s">
        <v>4427</v>
      </c>
      <c r="E2310">
        <f t="shared" si="36"/>
        <v>0</v>
      </c>
    </row>
    <row r="2311" spans="1:5">
      <c r="A2311" s="1">
        <f>IF(C2311="","",COUNTA(C$4:C2311))</f>
        <v>2288</v>
      </c>
      <c r="B2311" s="1" t="s">
        <v>4428</v>
      </c>
      <c r="C2311" s="1" t="s">
        <v>4429</v>
      </c>
      <c r="E2311">
        <f t="shared" si="36"/>
        <v>0</v>
      </c>
    </row>
    <row r="2312" spans="1:5">
      <c r="A2312" s="1">
        <f>IF(C2312="","",COUNTA(C$4:C2312))</f>
        <v>2289</v>
      </c>
      <c r="B2312" s="1" t="s">
        <v>4430</v>
      </c>
      <c r="C2312" s="1" t="s">
        <v>4431</v>
      </c>
      <c r="E2312">
        <f t="shared" si="36"/>
        <v>0</v>
      </c>
    </row>
    <row r="2313" spans="1:5">
      <c r="A2313" s="1">
        <f>IF(C2313="","",COUNTA(C$4:C2313))</f>
        <v>2290</v>
      </c>
      <c r="B2313" s="1" t="s">
        <v>4432</v>
      </c>
      <c r="C2313" s="1" t="s">
        <v>4433</v>
      </c>
      <c r="E2313">
        <f t="shared" si="36"/>
        <v>0</v>
      </c>
    </row>
    <row r="2314" spans="1:5">
      <c r="A2314" s="1">
        <f>IF(C2314="","",COUNTA(C$4:C2314))</f>
        <v>2291</v>
      </c>
      <c r="B2314" s="1" t="s">
        <v>4434</v>
      </c>
      <c r="C2314" s="1" t="s">
        <v>4435</v>
      </c>
      <c r="E2314">
        <f t="shared" si="36"/>
        <v>0</v>
      </c>
    </row>
    <row r="2315" spans="1:5">
      <c r="A2315" s="1">
        <f>IF(C2315="","",COUNTA(C$4:C2315))</f>
        <v>2292</v>
      </c>
      <c r="B2315" s="1" t="s">
        <v>4436</v>
      </c>
      <c r="C2315" s="1" t="s">
        <v>4437</v>
      </c>
      <c r="E2315">
        <f t="shared" si="36"/>
        <v>0</v>
      </c>
    </row>
    <row r="2316" spans="1:5">
      <c r="A2316" s="1">
        <f>IF(C2316="","",COUNTA(C$4:C2316))</f>
        <v>2293</v>
      </c>
      <c r="B2316" s="1" t="s">
        <v>4438</v>
      </c>
      <c r="C2316" s="1" t="s">
        <v>4439</v>
      </c>
      <c r="E2316">
        <f t="shared" si="36"/>
        <v>0</v>
      </c>
    </row>
    <row r="2317" spans="1:5">
      <c r="A2317" s="1">
        <f>IF(C2317="","",COUNTA(C$4:C2317))</f>
        <v>2294</v>
      </c>
      <c r="B2317" s="1" t="s">
        <v>4440</v>
      </c>
      <c r="C2317" s="1" t="s">
        <v>4441</v>
      </c>
      <c r="E2317">
        <f t="shared" si="36"/>
        <v>0</v>
      </c>
    </row>
    <row r="2318" spans="1:5">
      <c r="A2318" s="1">
        <f>IF(C2318="","",COUNTA(C$4:C2318))</f>
        <v>2295</v>
      </c>
      <c r="B2318" s="1" t="s">
        <v>4023</v>
      </c>
      <c r="C2318" s="1" t="s">
        <v>4442</v>
      </c>
      <c r="E2318">
        <f t="shared" si="36"/>
        <v>0</v>
      </c>
    </row>
    <row r="2319" spans="1:5">
      <c r="A2319" s="1">
        <f>IF(C2319="","",COUNTA(C$4:C2319))</f>
        <v>2296</v>
      </c>
      <c r="B2319" s="1" t="s">
        <v>4443</v>
      </c>
      <c r="C2319" s="1" t="s">
        <v>4444</v>
      </c>
      <c r="E2319">
        <f t="shared" si="36"/>
        <v>0</v>
      </c>
    </row>
    <row r="2320" spans="1:5">
      <c r="A2320" s="1">
        <f>IF(C2320="","",COUNTA(C$4:C2320))</f>
        <v>2297</v>
      </c>
      <c r="B2320" s="1" t="s">
        <v>4445</v>
      </c>
      <c r="C2320" s="1" t="s">
        <v>4446</v>
      </c>
      <c r="E2320">
        <f t="shared" si="36"/>
        <v>0</v>
      </c>
    </row>
    <row r="2321" spans="1:5">
      <c r="A2321" s="1">
        <f>IF(C2321="","",COUNTA(C$4:C2321))</f>
        <v>2298</v>
      </c>
      <c r="B2321" s="1" t="s">
        <v>4447</v>
      </c>
      <c r="C2321" s="1" t="s">
        <v>4448</v>
      </c>
      <c r="E2321">
        <f t="shared" si="36"/>
        <v>0</v>
      </c>
    </row>
    <row r="2322" spans="1:5">
      <c r="A2322" s="1">
        <f>IF(C2322="","",COUNTA(C$4:C2322))</f>
        <v>2299</v>
      </c>
      <c r="B2322" s="1" t="s">
        <v>4449</v>
      </c>
      <c r="C2322" s="1" t="s">
        <v>4450</v>
      </c>
      <c r="E2322">
        <f t="shared" si="36"/>
        <v>0</v>
      </c>
    </row>
    <row r="2323" spans="1:5">
      <c r="A2323" s="1">
        <f>IF(C2323="","",COUNTA(C$4:C2323))</f>
        <v>2300</v>
      </c>
      <c r="B2323" s="1" t="s">
        <v>4451</v>
      </c>
      <c r="C2323" s="1" t="s">
        <v>4452</v>
      </c>
      <c r="E2323">
        <f t="shared" si="36"/>
        <v>0</v>
      </c>
    </row>
    <row r="2324" spans="1:5">
      <c r="A2324" s="1">
        <f>IF(C2324="","",COUNTA(C$4:C2324))</f>
        <v>2301</v>
      </c>
      <c r="B2324" s="1" t="s">
        <v>4453</v>
      </c>
      <c r="C2324" s="1" t="s">
        <v>4454</v>
      </c>
      <c r="E2324">
        <f t="shared" si="36"/>
        <v>0</v>
      </c>
    </row>
    <row r="2325" spans="1:5">
      <c r="A2325" s="1">
        <f>IF(C2325="","",COUNTA(C$4:C2325))</f>
        <v>2302</v>
      </c>
      <c r="B2325" s="1" t="s">
        <v>4455</v>
      </c>
      <c r="C2325" s="1" t="s">
        <v>4456</v>
      </c>
      <c r="E2325">
        <f t="shared" si="36"/>
        <v>0</v>
      </c>
    </row>
    <row r="2326" spans="1:5">
      <c r="A2326" s="1">
        <f>IF(C2326="","",COUNTA(C$4:C2326))</f>
        <v>2303</v>
      </c>
      <c r="B2326" s="1" t="s">
        <v>4457</v>
      </c>
      <c r="C2326" s="1" t="s">
        <v>4458</v>
      </c>
      <c r="E2326">
        <f t="shared" si="36"/>
        <v>0</v>
      </c>
    </row>
    <row r="2327" spans="1:5">
      <c r="A2327" s="1">
        <f>IF(C2327="","",COUNTA(C$4:C2327))</f>
        <v>2304</v>
      </c>
      <c r="B2327" s="1" t="s">
        <v>4459</v>
      </c>
      <c r="C2327" s="1" t="s">
        <v>4460</v>
      </c>
      <c r="E2327">
        <f t="shared" si="36"/>
        <v>0</v>
      </c>
    </row>
    <row r="2328" spans="1:5">
      <c r="A2328" s="1">
        <f>IF(C2328="","",COUNTA(C$4:C2328))</f>
        <v>2305</v>
      </c>
      <c r="B2328" s="1" t="s">
        <v>4461</v>
      </c>
      <c r="C2328" s="1" t="s">
        <v>4462</v>
      </c>
      <c r="E2328">
        <f t="shared" si="36"/>
        <v>0</v>
      </c>
    </row>
    <row r="2329" spans="1:5">
      <c r="A2329" s="1">
        <f>IF(C2329="","",COUNTA(C$4:C2329))</f>
        <v>2306</v>
      </c>
      <c r="B2329" s="1" t="s">
        <v>4463</v>
      </c>
      <c r="C2329" s="1" t="s">
        <v>4464</v>
      </c>
      <c r="E2329">
        <f t="shared" si="36"/>
        <v>0</v>
      </c>
    </row>
    <row r="2330" spans="1:5">
      <c r="A2330" s="1">
        <f>IF(C2330="","",COUNTA(C$4:C2330))</f>
        <v>2307</v>
      </c>
      <c r="B2330" s="1" t="s">
        <v>4465</v>
      </c>
      <c r="C2330" s="1" t="s">
        <v>4466</v>
      </c>
      <c r="E2330">
        <f t="shared" si="36"/>
        <v>0</v>
      </c>
    </row>
    <row r="2331" spans="1:5">
      <c r="A2331" s="1">
        <f>IF(C2331="","",COUNTA(C$4:C2331))</f>
        <v>2308</v>
      </c>
      <c r="B2331" s="1" t="s">
        <v>4467</v>
      </c>
      <c r="C2331" s="1" t="s">
        <v>4468</v>
      </c>
      <c r="E2331">
        <f t="shared" si="36"/>
        <v>0</v>
      </c>
    </row>
    <row r="2332" spans="1:5">
      <c r="A2332" s="1">
        <f>IF(C2332="","",COUNTA(C$4:C2332))</f>
        <v>2309</v>
      </c>
      <c r="B2332" s="1" t="s">
        <v>4469</v>
      </c>
      <c r="C2332" s="1" t="s">
        <v>4470</v>
      </c>
      <c r="E2332">
        <f t="shared" si="36"/>
        <v>0</v>
      </c>
    </row>
    <row r="2333" spans="1:5">
      <c r="A2333" s="1">
        <f>IF(C2333="","",COUNTA(C$4:C2333))</f>
        <v>2310</v>
      </c>
      <c r="B2333" s="1" t="s">
        <v>4471</v>
      </c>
      <c r="C2333" s="1" t="s">
        <v>4472</v>
      </c>
      <c r="E2333">
        <f t="shared" si="36"/>
        <v>0</v>
      </c>
    </row>
    <row r="2334" spans="1:5">
      <c r="A2334" s="1">
        <f>IF(C2334="","",COUNTA(C$4:C2334))</f>
        <v>2311</v>
      </c>
      <c r="B2334" s="1" t="s">
        <v>4473</v>
      </c>
      <c r="C2334" s="1" t="s">
        <v>4474</v>
      </c>
      <c r="E2334">
        <f t="shared" si="36"/>
        <v>0</v>
      </c>
    </row>
    <row r="2335" spans="1:5">
      <c r="A2335" s="1">
        <f>IF(C2335="","",COUNTA(C$4:C2335))</f>
        <v>2312</v>
      </c>
      <c r="B2335" s="1" t="s">
        <v>4475</v>
      </c>
      <c r="C2335" s="1" t="s">
        <v>4476</v>
      </c>
      <c r="E2335">
        <f t="shared" si="36"/>
        <v>0</v>
      </c>
    </row>
    <row r="2336" spans="1:5">
      <c r="A2336" s="1">
        <f>IF(C2336="","",COUNTA(C$4:C2336))</f>
        <v>2313</v>
      </c>
      <c r="B2336" s="1" t="s">
        <v>4477</v>
      </c>
      <c r="C2336" s="1" t="s">
        <v>4478</v>
      </c>
      <c r="E2336">
        <f t="shared" si="36"/>
        <v>0</v>
      </c>
    </row>
    <row r="2337" spans="1:5">
      <c r="A2337" s="1">
        <f>IF(C2337="","",COUNTA(C$4:C2337))</f>
        <v>2314</v>
      </c>
      <c r="B2337" s="1" t="s">
        <v>4479</v>
      </c>
      <c r="C2337" s="1" t="s">
        <v>4480</v>
      </c>
      <c r="E2337">
        <f t="shared" si="36"/>
        <v>0</v>
      </c>
    </row>
    <row r="2338" spans="1:5">
      <c r="A2338" s="1">
        <f>IF(C2338="","",COUNTA(C$4:C2338))</f>
        <v>2315</v>
      </c>
      <c r="B2338" s="1" t="s">
        <v>4481</v>
      </c>
      <c r="C2338" s="1" t="s">
        <v>4482</v>
      </c>
      <c r="E2338">
        <f t="shared" si="36"/>
        <v>0</v>
      </c>
    </row>
    <row r="2339" spans="1:5">
      <c r="A2339" s="1">
        <f>IF(C2339="","",COUNTA(C$4:C2339))</f>
        <v>2316</v>
      </c>
      <c r="B2339" s="1" t="s">
        <v>4483</v>
      </c>
      <c r="C2339" s="1" t="s">
        <v>4484</v>
      </c>
      <c r="E2339">
        <f t="shared" si="36"/>
        <v>0</v>
      </c>
    </row>
    <row r="2340" spans="1:5">
      <c r="A2340" s="1">
        <f>IF(C2340="","",COUNTA(C$4:C2340))</f>
        <v>2317</v>
      </c>
      <c r="B2340" s="1" t="s">
        <v>4485</v>
      </c>
      <c r="C2340" s="1" t="s">
        <v>4486</v>
      </c>
      <c r="E2340">
        <f t="shared" si="36"/>
        <v>0</v>
      </c>
    </row>
    <row r="2341" spans="1:5">
      <c r="A2341" s="1">
        <f>IF(C2341="","",COUNTA(C$4:C2341))</f>
        <v>2318</v>
      </c>
      <c r="B2341" s="1" t="s">
        <v>4487</v>
      </c>
      <c r="C2341" s="1" t="s">
        <v>4488</v>
      </c>
      <c r="E2341">
        <f t="shared" si="36"/>
        <v>0</v>
      </c>
    </row>
    <row r="2342" spans="1:5">
      <c r="A2342" s="1">
        <f>IF(C2342="","",COUNTA(C$4:C2342))</f>
        <v>2319</v>
      </c>
      <c r="B2342" s="1" t="s">
        <v>4489</v>
      </c>
      <c r="C2342" s="1" t="s">
        <v>4490</v>
      </c>
      <c r="E2342">
        <f t="shared" si="36"/>
        <v>0</v>
      </c>
    </row>
    <row r="2343" spans="1:5">
      <c r="A2343" s="1">
        <f>IF(C2343="","",COUNTA(C$4:C2343))</f>
        <v>2320</v>
      </c>
      <c r="B2343" s="1" t="s">
        <v>4491</v>
      </c>
      <c r="C2343" s="1" t="s">
        <v>4492</v>
      </c>
      <c r="E2343">
        <f t="shared" si="36"/>
        <v>0</v>
      </c>
    </row>
    <row r="2344" spans="1:5">
      <c r="A2344" s="1">
        <f>IF(C2344="","",COUNTA(C$4:C2344))</f>
        <v>2321</v>
      </c>
      <c r="B2344" s="1" t="s">
        <v>4493</v>
      </c>
      <c r="C2344" s="1" t="s">
        <v>4494</v>
      </c>
      <c r="E2344">
        <f t="shared" si="36"/>
        <v>0</v>
      </c>
    </row>
    <row r="2345" spans="1:5">
      <c r="A2345" s="1">
        <f>IF(C2345="","",COUNTA(C$4:C2345))</f>
        <v>2322</v>
      </c>
      <c r="B2345" s="1" t="s">
        <v>4495</v>
      </c>
      <c r="C2345" s="1" t="s">
        <v>4496</v>
      </c>
      <c r="E2345">
        <f t="shared" si="36"/>
        <v>0</v>
      </c>
    </row>
    <row r="2346" spans="1:5">
      <c r="A2346" s="1">
        <f>IF(C2346="","",COUNTA(C$4:C2346))</f>
        <v>2323</v>
      </c>
      <c r="B2346" s="1" t="s">
        <v>4497</v>
      </c>
      <c r="C2346" s="1" t="s">
        <v>4498</v>
      </c>
      <c r="E2346">
        <f t="shared" si="36"/>
        <v>0</v>
      </c>
    </row>
    <row r="2347" spans="1:5">
      <c r="A2347" s="1">
        <f>IF(C2347="","",COUNTA(C$4:C2347))</f>
        <v>2324</v>
      </c>
      <c r="B2347" s="1" t="s">
        <v>4499</v>
      </c>
      <c r="C2347" s="1" t="s">
        <v>4500</v>
      </c>
      <c r="E2347">
        <f t="shared" si="36"/>
        <v>0</v>
      </c>
    </row>
    <row r="2348" spans="1:5">
      <c r="A2348" s="1">
        <f>IF(C2348="","",COUNTA(C$4:C2348))</f>
        <v>2325</v>
      </c>
      <c r="B2348" s="1" t="s">
        <v>4501</v>
      </c>
      <c r="C2348" s="1" t="s">
        <v>4502</v>
      </c>
      <c r="E2348">
        <f t="shared" si="36"/>
        <v>0</v>
      </c>
    </row>
    <row r="2349" spans="1:5">
      <c r="A2349" s="1">
        <f>IF(C2349="","",COUNTA(C$4:C2349))</f>
        <v>2326</v>
      </c>
      <c r="B2349" s="1" t="s">
        <v>4503</v>
      </c>
      <c r="C2349" s="1" t="s">
        <v>4504</v>
      </c>
      <c r="E2349">
        <f t="shared" si="36"/>
        <v>0</v>
      </c>
    </row>
    <row r="2350" spans="1:5">
      <c r="A2350" s="1">
        <f>IF(C2350="","",COUNTA(C$4:C2350))</f>
        <v>2327</v>
      </c>
      <c r="B2350" s="1" t="s">
        <v>4505</v>
      </c>
      <c r="C2350" s="1" t="s">
        <v>4506</v>
      </c>
      <c r="E2350">
        <f t="shared" si="36"/>
        <v>0</v>
      </c>
    </row>
    <row r="2351" spans="1:5">
      <c r="A2351" s="1">
        <f>IF(C2351="","",COUNTA(C$4:C2351))</f>
        <v>2328</v>
      </c>
      <c r="B2351" s="1" t="s">
        <v>4507</v>
      </c>
      <c r="C2351" s="1" t="s">
        <v>4508</v>
      </c>
      <c r="E2351">
        <f t="shared" si="36"/>
        <v>0</v>
      </c>
    </row>
    <row r="2352" spans="1:5">
      <c r="A2352" s="1">
        <f>IF(C2352="","",COUNTA(C$4:C2352))</f>
        <v>2329</v>
      </c>
      <c r="B2352" s="1" t="s">
        <v>4507</v>
      </c>
      <c r="C2352" s="1" t="s">
        <v>4509</v>
      </c>
      <c r="E2352">
        <f t="shared" si="36"/>
        <v>0</v>
      </c>
    </row>
    <row r="2353" spans="1:5">
      <c r="A2353" s="1">
        <f>IF(C2353="","",COUNTA(C$4:C2353))</f>
        <v>2330</v>
      </c>
      <c r="B2353" s="1" t="s">
        <v>4510</v>
      </c>
      <c r="C2353" s="1" t="s">
        <v>4511</v>
      </c>
      <c r="E2353">
        <f t="shared" si="36"/>
        <v>0</v>
      </c>
    </row>
    <row r="2354" spans="1:5">
      <c r="A2354" s="1">
        <f>IF(C2354="","",COUNTA(C$4:C2354))</f>
        <v>2331</v>
      </c>
      <c r="B2354" s="1" t="s">
        <v>4512</v>
      </c>
      <c r="C2354" s="1" t="s">
        <v>4513</v>
      </c>
      <c r="E2354">
        <f t="shared" si="36"/>
        <v>0</v>
      </c>
    </row>
    <row r="2355" spans="1:5">
      <c r="A2355" s="1">
        <f>IF(C2355="","",COUNTA(C$4:C2355))</f>
        <v>2332</v>
      </c>
      <c r="B2355" s="1" t="s">
        <v>4514</v>
      </c>
      <c r="C2355" s="1" t="s">
        <v>4515</v>
      </c>
      <c r="E2355">
        <f t="shared" si="36"/>
        <v>0</v>
      </c>
    </row>
    <row r="2356" spans="1:5">
      <c r="A2356" s="1">
        <f>IF(C2356="","",COUNTA(C$4:C2356))</f>
        <v>2333</v>
      </c>
      <c r="B2356" s="1" t="s">
        <v>4516</v>
      </c>
      <c r="C2356" s="1" t="s">
        <v>4517</v>
      </c>
      <c r="E2356">
        <f t="shared" si="36"/>
        <v>0</v>
      </c>
    </row>
    <row r="2357" spans="1:5">
      <c r="A2357" s="1">
        <f>IF(C2357="","",COUNTA(C$4:C2357))</f>
        <v>2334</v>
      </c>
      <c r="B2357" s="1" t="s">
        <v>4518</v>
      </c>
      <c r="C2357" s="1" t="s">
        <v>4519</v>
      </c>
      <c r="E2357">
        <f t="shared" si="36"/>
        <v>0</v>
      </c>
    </row>
    <row r="2358" spans="1:5">
      <c r="A2358" s="1">
        <f>IF(C2358="","",COUNTA(C$4:C2358))</f>
        <v>2335</v>
      </c>
      <c r="B2358" s="1" t="s">
        <v>4520</v>
      </c>
      <c r="C2358" s="1" t="s">
        <v>4521</v>
      </c>
      <c r="E2358">
        <f t="shared" si="36"/>
        <v>0</v>
      </c>
    </row>
    <row r="2359" spans="1:5">
      <c r="A2359" s="1">
        <f>IF(C2359="","",COUNTA(C$4:C2359))</f>
        <v>2336</v>
      </c>
      <c r="B2359" s="1" t="s">
        <v>4522</v>
      </c>
      <c r="C2359" s="1" t="s">
        <v>4523</v>
      </c>
      <c r="E2359">
        <f t="shared" si="36"/>
        <v>0</v>
      </c>
    </row>
    <row r="2360" spans="1:5">
      <c r="A2360" s="1">
        <f>IF(C2360="","",COUNTA(C$4:C2360))</f>
        <v>2337</v>
      </c>
      <c r="B2360" s="1" t="s">
        <v>4524</v>
      </c>
      <c r="C2360" s="1" t="s">
        <v>4525</v>
      </c>
      <c r="E2360">
        <f t="shared" si="36"/>
        <v>0</v>
      </c>
    </row>
    <row r="2361" spans="1:5">
      <c r="A2361" s="1">
        <f>IF(C2361="","",COUNTA(C$4:C2361))</f>
        <v>2338</v>
      </c>
      <c r="B2361" s="1" t="s">
        <v>4526</v>
      </c>
      <c r="C2361" s="1" t="s">
        <v>4527</v>
      </c>
      <c r="E2361">
        <f t="shared" si="36"/>
        <v>0</v>
      </c>
    </row>
    <row r="2362" spans="1:5">
      <c r="A2362" s="1">
        <f>IF(C2362="","",COUNTA(C$4:C2362))</f>
        <v>2339</v>
      </c>
      <c r="B2362" s="1" t="s">
        <v>4528</v>
      </c>
      <c r="C2362" s="1" t="s">
        <v>4529</v>
      </c>
      <c r="E2362">
        <f t="shared" si="36"/>
        <v>0</v>
      </c>
    </row>
    <row r="2363" spans="1:5">
      <c r="A2363" s="1">
        <f>IF(C2363="","",COUNTA(C$4:C2363))</f>
        <v>2340</v>
      </c>
      <c r="B2363" s="1" t="s">
        <v>4530</v>
      </c>
      <c r="C2363" s="1" t="s">
        <v>4531</v>
      </c>
      <c r="E2363">
        <f t="shared" si="36"/>
        <v>0</v>
      </c>
    </row>
    <row r="2364" spans="1:5">
      <c r="A2364" s="1">
        <f>IF(C2364="","",COUNTA(C$4:C2364))</f>
        <v>2341</v>
      </c>
      <c r="B2364" s="1" t="s">
        <v>4532</v>
      </c>
      <c r="C2364" s="1" t="s">
        <v>4533</v>
      </c>
      <c r="E2364">
        <f t="shared" si="36"/>
        <v>0</v>
      </c>
    </row>
    <row r="2365" spans="1:5">
      <c r="A2365" s="1">
        <f>IF(C2365="","",COUNTA(C$4:C2365))</f>
        <v>2342</v>
      </c>
      <c r="B2365" s="1" t="s">
        <v>4534</v>
      </c>
      <c r="C2365" s="1" t="s">
        <v>4535</v>
      </c>
      <c r="E2365">
        <f t="shared" si="36"/>
        <v>0</v>
      </c>
    </row>
    <row r="2366" spans="1:5">
      <c r="A2366" s="1">
        <f>IF(C2366="","",COUNTA(C$4:C2366))</f>
        <v>2343</v>
      </c>
      <c r="B2366" s="1" t="s">
        <v>4536</v>
      </c>
      <c r="C2366" s="1" t="s">
        <v>4537</v>
      </c>
      <c r="E2366">
        <f t="shared" si="36"/>
        <v>0</v>
      </c>
    </row>
    <row r="2367" spans="1:5">
      <c r="A2367" s="1">
        <f>IF(C2367="","",COUNTA(C$4:C2367))</f>
        <v>2344</v>
      </c>
      <c r="B2367" s="1" t="s">
        <v>4538</v>
      </c>
      <c r="C2367" s="1" t="s">
        <v>4539</v>
      </c>
      <c r="E2367">
        <f t="shared" si="36"/>
        <v>0</v>
      </c>
    </row>
    <row r="2368" spans="1:5">
      <c r="A2368" s="1">
        <f>IF(C2368="","",COUNTA(C$4:C2368))</f>
        <v>2345</v>
      </c>
      <c r="B2368" s="1" t="s">
        <v>4540</v>
      </c>
      <c r="C2368" s="1" t="s">
        <v>4541</v>
      </c>
      <c r="E2368">
        <f t="shared" si="36"/>
        <v>0</v>
      </c>
    </row>
    <row r="2369" spans="1:5">
      <c r="A2369" s="1">
        <f>IF(C2369="","",COUNTA(C$4:C2369))</f>
        <v>2346</v>
      </c>
      <c r="B2369" s="1" t="s">
        <v>4542</v>
      </c>
      <c r="C2369" s="1" t="s">
        <v>4543</v>
      </c>
      <c r="E2369">
        <f t="shared" si="36"/>
        <v>0</v>
      </c>
    </row>
    <row r="2370" spans="1:5">
      <c r="A2370" s="1">
        <f>IF(C2370="","",COUNTA(C$4:C2370))</f>
        <v>2347</v>
      </c>
      <c r="B2370" s="1" t="s">
        <v>4544</v>
      </c>
      <c r="C2370" s="1" t="s">
        <v>4545</v>
      </c>
      <c r="E2370">
        <f t="shared" si="36"/>
        <v>0</v>
      </c>
    </row>
    <row r="2371" spans="1:5">
      <c r="A2371" s="1">
        <f>IF(C2371="","",COUNTA(C$4:C2371))</f>
        <v>2348</v>
      </c>
      <c r="B2371" s="1" t="s">
        <v>4546</v>
      </c>
      <c r="C2371" s="1" t="s">
        <v>4547</v>
      </c>
      <c r="E2371">
        <f t="shared" si="36"/>
        <v>0</v>
      </c>
    </row>
    <row r="2372" spans="1:5">
      <c r="A2372" s="1">
        <f>IF(C2372="","",COUNTA(C$4:C2372))</f>
        <v>2349</v>
      </c>
      <c r="B2372" s="1" t="s">
        <v>4548</v>
      </c>
      <c r="C2372" s="1" t="s">
        <v>4549</v>
      </c>
      <c r="E2372">
        <f t="shared" si="36"/>
        <v>0</v>
      </c>
    </row>
    <row r="2373" spans="1:5">
      <c r="A2373" s="1">
        <f>IF(C2373="","",COUNTA(C$4:C2373))</f>
        <v>2350</v>
      </c>
      <c r="B2373" s="1" t="s">
        <v>4550</v>
      </c>
      <c r="C2373" s="1" t="s">
        <v>4551</v>
      </c>
      <c r="E2373">
        <f t="shared" ref="E2373:E2436" si="37">IF(C2373=D2373,1,0)</f>
        <v>0</v>
      </c>
    </row>
    <row r="2374" spans="1:5">
      <c r="A2374" s="1">
        <f>IF(C2374="","",COUNTA(C$4:C2374))</f>
        <v>2351</v>
      </c>
      <c r="B2374" s="1" t="s">
        <v>4552</v>
      </c>
      <c r="C2374" s="1" t="s">
        <v>4553</v>
      </c>
      <c r="E2374">
        <f t="shared" si="37"/>
        <v>0</v>
      </c>
    </row>
    <row r="2375" spans="1:5">
      <c r="A2375" s="1">
        <f>IF(C2375="","",COUNTA(C$4:C2375))</f>
        <v>2352</v>
      </c>
      <c r="B2375" s="1" t="s">
        <v>4554</v>
      </c>
      <c r="C2375" s="1" t="s">
        <v>4555</v>
      </c>
      <c r="E2375">
        <f t="shared" si="37"/>
        <v>0</v>
      </c>
    </row>
    <row r="2376" spans="1:5">
      <c r="A2376" s="1">
        <f>IF(C2376="","",COUNTA(C$4:C2376))</f>
        <v>2353</v>
      </c>
      <c r="B2376" s="1" t="s">
        <v>4556</v>
      </c>
      <c r="C2376" s="1" t="s">
        <v>4557</v>
      </c>
      <c r="E2376">
        <f t="shared" si="37"/>
        <v>0</v>
      </c>
    </row>
    <row r="2377" spans="1:5">
      <c r="A2377" s="1">
        <f>IF(C2377="","",COUNTA(C$4:C2377))</f>
        <v>2354</v>
      </c>
      <c r="B2377" s="1" t="s">
        <v>4558</v>
      </c>
      <c r="C2377" s="1" t="s">
        <v>4559</v>
      </c>
      <c r="E2377">
        <f t="shared" si="37"/>
        <v>0</v>
      </c>
    </row>
    <row r="2378" spans="1:5">
      <c r="A2378" s="1">
        <f>IF(C2378="","",COUNTA(C$4:C2378))</f>
        <v>2355</v>
      </c>
      <c r="B2378" s="1" t="s">
        <v>4560</v>
      </c>
      <c r="C2378" s="1" t="s">
        <v>4561</v>
      </c>
      <c r="E2378">
        <f t="shared" si="37"/>
        <v>0</v>
      </c>
    </row>
    <row r="2379" spans="1:5">
      <c r="A2379" s="1">
        <f>IF(C2379="","",COUNTA(C$4:C2379))</f>
        <v>2356</v>
      </c>
      <c r="B2379" s="1" t="s">
        <v>4562</v>
      </c>
      <c r="C2379" s="1" t="s">
        <v>4563</v>
      </c>
      <c r="E2379">
        <f t="shared" si="37"/>
        <v>0</v>
      </c>
    </row>
    <row r="2380" spans="1:5">
      <c r="A2380" s="1">
        <f>IF(C2380="","",COUNTA(C$4:C2380))</f>
        <v>2357</v>
      </c>
      <c r="B2380" s="1" t="s">
        <v>4564</v>
      </c>
      <c r="C2380" s="1" t="s">
        <v>4565</v>
      </c>
      <c r="E2380">
        <f t="shared" si="37"/>
        <v>0</v>
      </c>
    </row>
    <row r="2381" spans="1:5">
      <c r="A2381" s="1">
        <f>IF(C2381="","",COUNTA(C$4:C2381))</f>
        <v>2358</v>
      </c>
      <c r="B2381" s="1" t="s">
        <v>4566</v>
      </c>
      <c r="C2381" s="1" t="s">
        <v>4567</v>
      </c>
      <c r="E2381">
        <f t="shared" si="37"/>
        <v>0</v>
      </c>
    </row>
    <row r="2382" spans="1:5">
      <c r="A2382" s="1">
        <f>IF(C2382="","",COUNTA(C$4:C2382))</f>
        <v>2359</v>
      </c>
      <c r="B2382" s="1" t="s">
        <v>4568</v>
      </c>
      <c r="C2382" s="1" t="s">
        <v>4569</v>
      </c>
      <c r="E2382">
        <f t="shared" si="37"/>
        <v>0</v>
      </c>
    </row>
    <row r="2383" spans="1:5">
      <c r="A2383" s="1">
        <f>IF(C2383="","",COUNTA(C$4:C2383))</f>
        <v>2360</v>
      </c>
      <c r="B2383" s="1" t="s">
        <v>4570</v>
      </c>
      <c r="C2383" s="1" t="s">
        <v>4571</v>
      </c>
      <c r="E2383">
        <f t="shared" si="37"/>
        <v>0</v>
      </c>
    </row>
    <row r="2384" spans="1:5">
      <c r="A2384" s="1">
        <f>IF(C2384="","",COUNTA(C$4:C2384))</f>
        <v>2361</v>
      </c>
      <c r="B2384" s="1" t="s">
        <v>4572</v>
      </c>
      <c r="C2384" s="1" t="s">
        <v>4573</v>
      </c>
      <c r="E2384">
        <f t="shared" si="37"/>
        <v>0</v>
      </c>
    </row>
    <row r="2385" spans="1:5">
      <c r="A2385" s="1">
        <f>IF(C2385="","",COUNTA(C$4:C2385))</f>
        <v>2362</v>
      </c>
      <c r="B2385" s="1" t="s">
        <v>4574</v>
      </c>
      <c r="C2385" s="1" t="s">
        <v>4575</v>
      </c>
      <c r="E2385">
        <f t="shared" si="37"/>
        <v>0</v>
      </c>
    </row>
    <row r="2386" spans="1:5">
      <c r="A2386" s="1">
        <f>IF(C2386="","",COUNTA(C$4:C2386))</f>
        <v>2363</v>
      </c>
      <c r="B2386" s="1" t="s">
        <v>4576</v>
      </c>
      <c r="C2386" s="3" t="s">
        <v>4577</v>
      </c>
      <c r="E2386">
        <f t="shared" si="37"/>
        <v>0</v>
      </c>
    </row>
    <row r="2387" spans="1:5">
      <c r="A2387" s="1">
        <f>IF(C2387="","",COUNTA(C$4:C2387))</f>
        <v>2364</v>
      </c>
      <c r="B2387" s="1" t="s">
        <v>4578</v>
      </c>
      <c r="C2387" s="1" t="s">
        <v>4579</v>
      </c>
      <c r="E2387">
        <f t="shared" si="37"/>
        <v>0</v>
      </c>
    </row>
    <row r="2388" spans="1:5">
      <c r="A2388" s="1">
        <f>IF(C2388="","",COUNTA(C$4:C2388))</f>
        <v>2365</v>
      </c>
      <c r="B2388" s="1" t="s">
        <v>4580</v>
      </c>
      <c r="C2388" s="1" t="s">
        <v>4581</v>
      </c>
      <c r="E2388">
        <f t="shared" si="37"/>
        <v>0</v>
      </c>
    </row>
    <row r="2389" spans="1:5">
      <c r="A2389" s="1">
        <f>IF(C2389="","",COUNTA(C$4:C2389))</f>
        <v>2366</v>
      </c>
      <c r="B2389" s="1" t="s">
        <v>4582</v>
      </c>
      <c r="C2389" s="1" t="s">
        <v>4583</v>
      </c>
      <c r="E2389">
        <f t="shared" si="37"/>
        <v>0</v>
      </c>
    </row>
    <row r="2390" spans="1:5">
      <c r="A2390" s="1">
        <f>IF(C2390="","",COUNTA(C$4:C2390))</f>
        <v>2367</v>
      </c>
      <c r="B2390" s="1" t="s">
        <v>4584</v>
      </c>
      <c r="C2390" s="1" t="s">
        <v>4585</v>
      </c>
      <c r="E2390">
        <f t="shared" si="37"/>
        <v>0</v>
      </c>
    </row>
    <row r="2391" spans="1:5">
      <c r="A2391" s="1">
        <f>IF(C2391="","",COUNTA(C$4:C2391))</f>
        <v>2368</v>
      </c>
      <c r="B2391" s="1" t="s">
        <v>4586</v>
      </c>
      <c r="C2391" s="1" t="s">
        <v>4587</v>
      </c>
      <c r="E2391">
        <f t="shared" si="37"/>
        <v>0</v>
      </c>
    </row>
    <row r="2392" spans="1:5">
      <c r="A2392" s="1">
        <f>IF(C2392="","",COUNTA(C$4:C2392))</f>
        <v>2369</v>
      </c>
      <c r="B2392" s="1" t="s">
        <v>3877</v>
      </c>
      <c r="C2392" s="1" t="s">
        <v>4588</v>
      </c>
      <c r="E2392">
        <f t="shared" si="37"/>
        <v>0</v>
      </c>
    </row>
    <row r="2393" spans="1:5">
      <c r="A2393" s="1">
        <f>IF(C2393="","",COUNTA(C$4:C2393))</f>
        <v>2370</v>
      </c>
      <c r="B2393" s="1" t="s">
        <v>4589</v>
      </c>
      <c r="C2393" s="1" t="s">
        <v>4590</v>
      </c>
      <c r="E2393">
        <f t="shared" si="37"/>
        <v>0</v>
      </c>
    </row>
    <row r="2394" spans="1:5">
      <c r="A2394" s="1">
        <f>IF(C2394="","",COUNTA(C$4:C2394))</f>
        <v>2371</v>
      </c>
      <c r="B2394" s="1" t="s">
        <v>4591</v>
      </c>
      <c r="C2394" s="1" t="s">
        <v>4592</v>
      </c>
      <c r="E2394">
        <f t="shared" si="37"/>
        <v>0</v>
      </c>
    </row>
    <row r="2395" spans="1:5">
      <c r="A2395" s="1">
        <f>IF(C2395="","",COUNTA(C$4:C2395))</f>
        <v>2372</v>
      </c>
      <c r="B2395" s="1" t="s">
        <v>4593</v>
      </c>
      <c r="C2395" s="1" t="s">
        <v>4594</v>
      </c>
      <c r="E2395">
        <f t="shared" si="37"/>
        <v>0</v>
      </c>
    </row>
    <row r="2396" spans="1:5">
      <c r="A2396" s="1">
        <f>IF(C2396="","",COUNTA(C$4:C2396))</f>
        <v>2373</v>
      </c>
      <c r="B2396" s="1" t="s">
        <v>4595</v>
      </c>
      <c r="C2396" s="1" t="s">
        <v>4596</v>
      </c>
      <c r="E2396">
        <f t="shared" si="37"/>
        <v>0</v>
      </c>
    </row>
    <row r="2397" spans="1:5">
      <c r="A2397" s="1">
        <f>IF(C2397="","",COUNTA(C$4:C2397))</f>
        <v>2374</v>
      </c>
      <c r="B2397" s="1" t="s">
        <v>4597</v>
      </c>
      <c r="C2397" s="1" t="s">
        <v>4598</v>
      </c>
      <c r="E2397">
        <f t="shared" si="37"/>
        <v>0</v>
      </c>
    </row>
    <row r="2398" spans="1:5">
      <c r="A2398" s="1">
        <f>IF(C2398="","",COUNTA(C$4:C2398))</f>
        <v>2375</v>
      </c>
      <c r="B2398" s="1" t="s">
        <v>4599</v>
      </c>
      <c r="C2398" s="1" t="s">
        <v>4600</v>
      </c>
      <c r="E2398">
        <f t="shared" si="37"/>
        <v>0</v>
      </c>
    </row>
    <row r="2399" spans="1:5">
      <c r="A2399" s="1">
        <f>IF(C2399="","",COUNTA(C$4:C2399))</f>
        <v>2376</v>
      </c>
      <c r="B2399" s="1" t="s">
        <v>4601</v>
      </c>
      <c r="C2399" s="1" t="s">
        <v>4602</v>
      </c>
      <c r="E2399">
        <f t="shared" si="37"/>
        <v>0</v>
      </c>
    </row>
    <row r="2400" spans="1:5">
      <c r="A2400" s="1">
        <f>IF(C2400="","",COUNTA(C$4:C2400))</f>
        <v>2377</v>
      </c>
      <c r="B2400" s="1" t="s">
        <v>4603</v>
      </c>
      <c r="C2400" s="1" t="s">
        <v>4604</v>
      </c>
      <c r="E2400">
        <f t="shared" si="37"/>
        <v>0</v>
      </c>
    </row>
    <row r="2401" spans="1:5">
      <c r="A2401" s="1">
        <f>IF(C2401="","",COUNTA(C$4:C2401))</f>
        <v>2378</v>
      </c>
      <c r="B2401" s="1" t="s">
        <v>4605</v>
      </c>
      <c r="C2401" s="1" t="s">
        <v>4606</v>
      </c>
      <c r="E2401">
        <f t="shared" si="37"/>
        <v>0</v>
      </c>
    </row>
    <row r="2402" spans="1:5">
      <c r="A2402" s="1">
        <f>IF(C2402="","",COUNTA(C$4:C2402))</f>
        <v>2379</v>
      </c>
      <c r="B2402" s="1" t="s">
        <v>4607</v>
      </c>
      <c r="C2402" s="1" t="s">
        <v>4608</v>
      </c>
      <c r="E2402">
        <f t="shared" si="37"/>
        <v>0</v>
      </c>
    </row>
    <row r="2403" spans="1:5">
      <c r="A2403" s="1">
        <f>IF(C2403="","",COUNTA(C$4:C2403))</f>
        <v>2380</v>
      </c>
      <c r="B2403" s="1" t="s">
        <v>4609</v>
      </c>
      <c r="C2403" s="1" t="s">
        <v>4610</v>
      </c>
      <c r="E2403">
        <f t="shared" si="37"/>
        <v>0</v>
      </c>
    </row>
    <row r="2404" spans="1:5">
      <c r="A2404" s="1">
        <f>IF(C2404="","",COUNTA(C$4:C2404))</f>
        <v>2381</v>
      </c>
      <c r="B2404" s="1" t="s">
        <v>4611</v>
      </c>
      <c r="C2404" s="1" t="s">
        <v>4612</v>
      </c>
      <c r="E2404">
        <f t="shared" si="37"/>
        <v>0</v>
      </c>
    </row>
    <row r="2405" spans="1:5">
      <c r="A2405" s="1">
        <f>IF(C2405="","",COUNTA(C$4:C2405))</f>
        <v>2382</v>
      </c>
      <c r="B2405" s="1" t="s">
        <v>4613</v>
      </c>
      <c r="C2405" s="1" t="s">
        <v>4614</v>
      </c>
      <c r="E2405">
        <f t="shared" si="37"/>
        <v>0</v>
      </c>
    </row>
    <row r="2406" spans="1:5">
      <c r="A2406" s="1">
        <f>IF(C2406="","",COUNTA(C$4:C2406))</f>
        <v>2383</v>
      </c>
      <c r="B2406" s="1" t="s">
        <v>4615</v>
      </c>
      <c r="C2406" s="1" t="s">
        <v>4616</v>
      </c>
      <c r="E2406">
        <f t="shared" si="37"/>
        <v>0</v>
      </c>
    </row>
    <row r="2407" spans="1:5">
      <c r="A2407" s="1">
        <f>IF(C2407="","",COUNTA(C$4:C2407))</f>
        <v>2384</v>
      </c>
      <c r="B2407" s="1" t="s">
        <v>4617</v>
      </c>
      <c r="C2407" s="1" t="s">
        <v>4618</v>
      </c>
      <c r="E2407">
        <f t="shared" si="37"/>
        <v>0</v>
      </c>
    </row>
    <row r="2408" spans="1:5">
      <c r="A2408" s="1">
        <f>IF(C2408="","",COUNTA(C$4:C2408))</f>
        <v>2385</v>
      </c>
      <c r="B2408" s="1" t="s">
        <v>4619</v>
      </c>
      <c r="C2408" s="1" t="s">
        <v>4620</v>
      </c>
      <c r="E2408">
        <f t="shared" si="37"/>
        <v>0</v>
      </c>
    </row>
    <row r="2409" spans="1:5">
      <c r="A2409" s="1">
        <f>IF(C2409="","",COUNTA(C$4:C2409))</f>
        <v>2386</v>
      </c>
      <c r="B2409" s="1" t="s">
        <v>4621</v>
      </c>
      <c r="C2409" s="1" t="s">
        <v>4622</v>
      </c>
      <c r="E2409">
        <f t="shared" si="37"/>
        <v>0</v>
      </c>
    </row>
    <row r="2410" spans="1:5">
      <c r="A2410" s="1">
        <f>IF(C2410="","",COUNTA(C$4:C2410))</f>
        <v>2387</v>
      </c>
      <c r="B2410" s="1" t="s">
        <v>4623</v>
      </c>
      <c r="C2410" s="1" t="s">
        <v>4624</v>
      </c>
      <c r="E2410">
        <f t="shared" si="37"/>
        <v>0</v>
      </c>
    </row>
    <row r="2411" spans="1:5">
      <c r="A2411" s="1">
        <f>IF(C2411="","",COUNTA(C$4:C2411))</f>
        <v>2388</v>
      </c>
      <c r="B2411" s="1" t="s">
        <v>4625</v>
      </c>
      <c r="C2411" s="1" t="s">
        <v>4626</v>
      </c>
      <c r="E2411">
        <f t="shared" si="37"/>
        <v>0</v>
      </c>
    </row>
    <row r="2412" spans="1:5">
      <c r="A2412" s="1">
        <f>IF(C2412="","",COUNTA(C$4:C2412))</f>
        <v>2389</v>
      </c>
      <c r="B2412" s="1" t="s">
        <v>4627</v>
      </c>
      <c r="C2412" s="1" t="s">
        <v>4628</v>
      </c>
      <c r="E2412">
        <f t="shared" si="37"/>
        <v>0</v>
      </c>
    </row>
    <row r="2413" spans="1:5">
      <c r="A2413" s="1">
        <f>IF(C2413="","",COUNTA(C$4:C2413))</f>
        <v>2390</v>
      </c>
      <c r="B2413" s="1" t="s">
        <v>4629</v>
      </c>
      <c r="C2413" s="1" t="s">
        <v>4630</v>
      </c>
      <c r="E2413">
        <f t="shared" si="37"/>
        <v>0</v>
      </c>
    </row>
    <row r="2414" spans="1:5">
      <c r="A2414" s="1">
        <f>IF(C2414="","",COUNTA(C$4:C2414))</f>
        <v>2391</v>
      </c>
      <c r="B2414" s="1" t="s">
        <v>4631</v>
      </c>
      <c r="C2414" s="1" t="s">
        <v>4632</v>
      </c>
      <c r="E2414">
        <f t="shared" si="37"/>
        <v>0</v>
      </c>
    </row>
    <row r="2415" spans="1:5">
      <c r="A2415" s="1">
        <f>IF(C2415="","",COUNTA(C$4:C2415))</f>
        <v>2392</v>
      </c>
      <c r="B2415" s="1" t="s">
        <v>4633</v>
      </c>
      <c r="C2415" s="1" t="s">
        <v>4634</v>
      </c>
      <c r="E2415">
        <f t="shared" si="37"/>
        <v>0</v>
      </c>
    </row>
    <row r="2416" spans="1:5">
      <c r="A2416" s="1">
        <f>IF(C2416="","",COUNTA(C$4:C2416))</f>
        <v>2393</v>
      </c>
      <c r="B2416" s="1" t="s">
        <v>4635</v>
      </c>
      <c r="C2416" s="1" t="s">
        <v>4636</v>
      </c>
      <c r="E2416">
        <f t="shared" si="37"/>
        <v>0</v>
      </c>
    </row>
    <row r="2417" spans="1:5">
      <c r="A2417" s="1">
        <f>IF(C2417="","",COUNTA(C$4:C2417))</f>
        <v>2394</v>
      </c>
      <c r="B2417" s="1" t="s">
        <v>4637</v>
      </c>
      <c r="C2417" s="1" t="s">
        <v>4638</v>
      </c>
      <c r="E2417">
        <f t="shared" si="37"/>
        <v>0</v>
      </c>
    </row>
    <row r="2418" spans="1:5">
      <c r="A2418" s="1">
        <f>IF(C2418="","",COUNTA(C$4:C2418))</f>
        <v>2395</v>
      </c>
      <c r="B2418" s="1" t="s">
        <v>4639</v>
      </c>
      <c r="C2418" s="1" t="s">
        <v>4640</v>
      </c>
      <c r="E2418">
        <f t="shared" si="37"/>
        <v>0</v>
      </c>
    </row>
    <row r="2419" spans="1:5">
      <c r="A2419" s="1">
        <f>IF(C2419="","",COUNTA(C$4:C2419))</f>
        <v>2396</v>
      </c>
      <c r="B2419" s="1" t="s">
        <v>4641</v>
      </c>
      <c r="C2419" s="1" t="s">
        <v>4642</v>
      </c>
      <c r="E2419">
        <f t="shared" si="37"/>
        <v>0</v>
      </c>
    </row>
    <row r="2420" spans="1:5">
      <c r="A2420" s="1">
        <f>IF(C2420="","",COUNTA(C$4:C2420))</f>
        <v>2397</v>
      </c>
      <c r="B2420" s="1" t="s">
        <v>4643</v>
      </c>
      <c r="C2420" s="1" t="s">
        <v>4644</v>
      </c>
      <c r="E2420">
        <f t="shared" si="37"/>
        <v>0</v>
      </c>
    </row>
    <row r="2421" spans="1:5">
      <c r="A2421" s="1">
        <f>IF(C2421="","",COUNTA(C$4:C2421))</f>
        <v>2398</v>
      </c>
      <c r="B2421" s="1" t="s">
        <v>4645</v>
      </c>
      <c r="C2421" s="1" t="s">
        <v>4646</v>
      </c>
      <c r="E2421">
        <f t="shared" si="37"/>
        <v>0</v>
      </c>
    </row>
    <row r="2422" spans="1:5">
      <c r="A2422" s="1">
        <f>IF(C2422="","",COUNTA(C$4:C2422))</f>
        <v>2399</v>
      </c>
      <c r="B2422" s="1" t="s">
        <v>4647</v>
      </c>
      <c r="C2422" s="3" t="s">
        <v>4648</v>
      </c>
      <c r="E2422">
        <f t="shared" si="37"/>
        <v>0</v>
      </c>
    </row>
    <row r="2423" spans="1:5">
      <c r="A2423" s="1">
        <f>IF(C2423="","",COUNTA(C$4:C2423))</f>
        <v>2400</v>
      </c>
      <c r="B2423" s="1" t="s">
        <v>4649</v>
      </c>
      <c r="C2423" s="3" t="s">
        <v>4650</v>
      </c>
      <c r="E2423">
        <f t="shared" si="37"/>
        <v>0</v>
      </c>
    </row>
    <row r="2424" spans="1:5">
      <c r="A2424" s="1">
        <f>IF(C2424="","",COUNTA(C$4:C2424))</f>
        <v>2401</v>
      </c>
      <c r="B2424" s="1" t="s">
        <v>4651</v>
      </c>
      <c r="C2424" s="3" t="s">
        <v>4652</v>
      </c>
      <c r="E2424">
        <f t="shared" si="37"/>
        <v>0</v>
      </c>
    </row>
    <row r="2425" spans="1:5">
      <c r="A2425" s="1">
        <f>IF(C2425="","",COUNTA(C$4:C2425))</f>
        <v>2402</v>
      </c>
      <c r="B2425" s="1" t="s">
        <v>4653</v>
      </c>
      <c r="C2425" s="1" t="s">
        <v>4654</v>
      </c>
      <c r="E2425">
        <f t="shared" si="37"/>
        <v>0</v>
      </c>
    </row>
    <row r="2426" spans="1:5">
      <c r="A2426" s="1">
        <f>IF(C2426="","",COUNTA(C$4:C2426))</f>
        <v>2403</v>
      </c>
      <c r="B2426" s="1" t="s">
        <v>4655</v>
      </c>
      <c r="C2426" s="1" t="s">
        <v>4656</v>
      </c>
      <c r="E2426">
        <f t="shared" si="37"/>
        <v>0</v>
      </c>
    </row>
    <row r="2427" spans="1:5">
      <c r="A2427" s="1">
        <f>IF(C2427="","",COUNTA(C$4:C2427))</f>
        <v>2404</v>
      </c>
      <c r="B2427" s="1" t="s">
        <v>4657</v>
      </c>
      <c r="C2427" s="1" t="s">
        <v>4658</v>
      </c>
      <c r="E2427">
        <f t="shared" si="37"/>
        <v>0</v>
      </c>
    </row>
    <row r="2428" spans="1:5">
      <c r="A2428" s="1">
        <f>IF(C2428="","",COUNTA(C$4:C2428))</f>
        <v>2405</v>
      </c>
      <c r="B2428" s="1" t="s">
        <v>4655</v>
      </c>
      <c r="C2428" s="1" t="s">
        <v>4659</v>
      </c>
      <c r="E2428">
        <f t="shared" si="37"/>
        <v>0</v>
      </c>
    </row>
    <row r="2429" spans="1:5">
      <c r="A2429" s="1">
        <f>IF(C2429="","",COUNTA(C$4:C2429))</f>
        <v>2406</v>
      </c>
      <c r="B2429" s="1" t="s">
        <v>4660</v>
      </c>
      <c r="C2429" s="1" t="s">
        <v>4661</v>
      </c>
      <c r="E2429">
        <f t="shared" si="37"/>
        <v>0</v>
      </c>
    </row>
    <row r="2430" spans="1:5">
      <c r="A2430" s="1">
        <f>IF(C2430="","",COUNTA(C$4:C2430))</f>
        <v>2407</v>
      </c>
      <c r="B2430" s="1" t="s">
        <v>4662</v>
      </c>
      <c r="C2430" s="1" t="s">
        <v>4663</v>
      </c>
      <c r="E2430">
        <f t="shared" si="37"/>
        <v>0</v>
      </c>
    </row>
    <row r="2431" spans="1:5">
      <c r="A2431" s="12" t="s">
        <v>4664</v>
      </c>
      <c r="B2431" s="13"/>
      <c r="C2431" s="14"/>
      <c r="D2431" s="9"/>
      <c r="E2431">
        <f t="shared" si="37"/>
        <v>1</v>
      </c>
    </row>
    <row r="2432" spans="1:5">
      <c r="A2432" s="1">
        <f>IF(C2432="","",COUNTA(C$4:C2432))</f>
        <v>2408</v>
      </c>
      <c r="B2432" s="1" t="s">
        <v>4665</v>
      </c>
      <c r="C2432" s="1" t="s">
        <v>4666</v>
      </c>
      <c r="E2432">
        <f t="shared" si="37"/>
        <v>0</v>
      </c>
    </row>
    <row r="2433" spans="1:5">
      <c r="A2433" s="1">
        <f>IF(C2433="","",COUNTA(C$4:C2433))</f>
        <v>2409</v>
      </c>
      <c r="B2433" s="1" t="s">
        <v>4667</v>
      </c>
      <c r="C2433" s="1" t="s">
        <v>4668</v>
      </c>
      <c r="E2433">
        <f t="shared" si="37"/>
        <v>0</v>
      </c>
    </row>
    <row r="2434" spans="1:5">
      <c r="A2434" s="1">
        <f>IF(C2434="","",COUNTA(C$4:C2434))</f>
        <v>2410</v>
      </c>
      <c r="B2434" s="1" t="s">
        <v>4669</v>
      </c>
      <c r="C2434" s="1" t="s">
        <v>4670</v>
      </c>
      <c r="E2434">
        <f t="shared" si="37"/>
        <v>0</v>
      </c>
    </row>
    <row r="2435" spans="1:5">
      <c r="A2435" s="1">
        <f>IF(C2435="","",COUNTA(C$4:C2435))</f>
        <v>2411</v>
      </c>
      <c r="B2435" s="1" t="s">
        <v>4671</v>
      </c>
      <c r="C2435" s="1" t="s">
        <v>4672</v>
      </c>
      <c r="E2435">
        <f t="shared" si="37"/>
        <v>0</v>
      </c>
    </row>
    <row r="2436" spans="1:5">
      <c r="A2436" s="1">
        <f>IF(C2436="","",COUNTA(C$4:C2436))</f>
        <v>2412</v>
      </c>
      <c r="B2436" s="1" t="s">
        <v>4673</v>
      </c>
      <c r="C2436" s="1" t="s">
        <v>4674</v>
      </c>
      <c r="E2436">
        <f t="shared" si="37"/>
        <v>0</v>
      </c>
    </row>
    <row r="2437" spans="1:5">
      <c r="A2437" s="1">
        <f>IF(C2437="","",COUNTA(C$4:C2437))</f>
        <v>2413</v>
      </c>
      <c r="B2437" s="1" t="s">
        <v>4675</v>
      </c>
      <c r="C2437" s="1" t="s">
        <v>4676</v>
      </c>
      <c r="E2437">
        <f t="shared" ref="E2437:E2500" si="38">IF(C2437=D2437,1,0)</f>
        <v>0</v>
      </c>
    </row>
    <row r="2438" spans="1:5">
      <c r="A2438" s="1">
        <f>IF(C2438="","",COUNTA(C$4:C2438))</f>
        <v>2414</v>
      </c>
      <c r="B2438" s="1" t="s">
        <v>2970</v>
      </c>
      <c r="C2438" s="1" t="s">
        <v>4677</v>
      </c>
      <c r="E2438">
        <f t="shared" si="38"/>
        <v>0</v>
      </c>
    </row>
    <row r="2439" spans="1:5">
      <c r="A2439" s="1">
        <f>IF(C2439="","",COUNTA(C$4:C2439))</f>
        <v>2415</v>
      </c>
      <c r="B2439" s="1" t="s">
        <v>4678</v>
      </c>
      <c r="C2439" s="1" t="s">
        <v>4679</v>
      </c>
      <c r="E2439">
        <f t="shared" si="38"/>
        <v>0</v>
      </c>
    </row>
    <row r="2440" spans="1:5">
      <c r="A2440" s="1">
        <f>IF(C2440="","",COUNTA(C$4:C2440))</f>
        <v>2416</v>
      </c>
      <c r="B2440" s="1" t="s">
        <v>4680</v>
      </c>
      <c r="C2440" s="1" t="s">
        <v>4681</v>
      </c>
      <c r="E2440">
        <f t="shared" si="38"/>
        <v>0</v>
      </c>
    </row>
    <row r="2441" spans="1:5">
      <c r="A2441" s="1">
        <f>IF(C2441="","",COUNTA(C$4:C2441))</f>
        <v>2417</v>
      </c>
      <c r="B2441" s="1" t="s">
        <v>4682</v>
      </c>
      <c r="C2441" s="1" t="s">
        <v>4683</v>
      </c>
      <c r="E2441">
        <f t="shared" si="38"/>
        <v>0</v>
      </c>
    </row>
    <row r="2442" spans="1:5">
      <c r="A2442" s="1">
        <f>IF(C2442="","",COUNTA(C$4:C2442))</f>
        <v>2418</v>
      </c>
      <c r="B2442" s="1" t="s">
        <v>4684</v>
      </c>
      <c r="C2442" s="1" t="s">
        <v>4685</v>
      </c>
      <c r="E2442">
        <f t="shared" si="38"/>
        <v>0</v>
      </c>
    </row>
    <row r="2443" spans="1:5">
      <c r="A2443" s="1">
        <f>IF(C2443="","",COUNTA(C$4:C2443))</f>
        <v>2419</v>
      </c>
      <c r="B2443" s="1" t="s">
        <v>4686</v>
      </c>
      <c r="C2443" s="1" t="s">
        <v>4687</v>
      </c>
      <c r="E2443">
        <f t="shared" si="38"/>
        <v>0</v>
      </c>
    </row>
    <row r="2444" spans="1:5">
      <c r="A2444" s="1">
        <f>IF(C2444="","",COUNTA(C$4:C2444))</f>
        <v>2420</v>
      </c>
      <c r="B2444" s="1" t="s">
        <v>4688</v>
      </c>
      <c r="C2444" s="1" t="s">
        <v>4689</v>
      </c>
      <c r="E2444">
        <f t="shared" si="38"/>
        <v>0</v>
      </c>
    </row>
    <row r="2445" spans="1:5">
      <c r="A2445" s="1">
        <f>IF(C2445="","",COUNTA(C$4:C2445))</f>
        <v>2421</v>
      </c>
      <c r="B2445" s="1" t="s">
        <v>4690</v>
      </c>
      <c r="C2445" s="1" t="s">
        <v>4691</v>
      </c>
      <c r="E2445">
        <f t="shared" si="38"/>
        <v>0</v>
      </c>
    </row>
    <row r="2446" spans="1:5">
      <c r="A2446" s="1">
        <f>IF(C2446="","",COUNTA(C$4:C2446))</f>
        <v>2422</v>
      </c>
      <c r="B2446" s="1" t="s">
        <v>4692</v>
      </c>
      <c r="C2446" s="1" t="s">
        <v>4693</v>
      </c>
      <c r="E2446">
        <f t="shared" si="38"/>
        <v>0</v>
      </c>
    </row>
    <row r="2447" spans="1:5">
      <c r="A2447" s="1">
        <f>IF(C2447="","",COUNTA(C$4:C2447))</f>
        <v>2423</v>
      </c>
      <c r="B2447" s="1" t="s">
        <v>4694</v>
      </c>
      <c r="C2447" s="1" t="s">
        <v>4695</v>
      </c>
      <c r="E2447">
        <f t="shared" si="38"/>
        <v>0</v>
      </c>
    </row>
    <row r="2448" spans="1:5">
      <c r="A2448" s="1">
        <f>IF(C2448="","",COUNTA(C$4:C2448))</f>
        <v>2424</v>
      </c>
      <c r="B2448" s="1" t="s">
        <v>4694</v>
      </c>
      <c r="C2448" s="1" t="s">
        <v>4696</v>
      </c>
      <c r="E2448">
        <f t="shared" si="38"/>
        <v>0</v>
      </c>
    </row>
    <row r="2449" spans="1:5">
      <c r="A2449" s="1">
        <f>IF(C2449="","",COUNTA(C$4:C2449))</f>
        <v>2425</v>
      </c>
      <c r="B2449" s="1" t="s">
        <v>4694</v>
      </c>
      <c r="C2449" s="1" t="s">
        <v>4697</v>
      </c>
      <c r="E2449">
        <f t="shared" si="38"/>
        <v>0</v>
      </c>
    </row>
    <row r="2450" spans="1:5">
      <c r="A2450" s="1">
        <f>IF(C2450="","",COUNTA(C$4:C2450))</f>
        <v>2426</v>
      </c>
      <c r="B2450" s="1" t="s">
        <v>4698</v>
      </c>
      <c r="C2450" s="1" t="s">
        <v>4699</v>
      </c>
      <c r="E2450">
        <f t="shared" si="38"/>
        <v>0</v>
      </c>
    </row>
    <row r="2451" spans="1:5">
      <c r="A2451" s="1">
        <f>IF(C2451="","",COUNTA(C$4:C2451))</f>
        <v>2427</v>
      </c>
      <c r="B2451" s="1" t="s">
        <v>4700</v>
      </c>
      <c r="C2451" s="1" t="s">
        <v>4701</v>
      </c>
      <c r="E2451">
        <f t="shared" si="38"/>
        <v>0</v>
      </c>
    </row>
    <row r="2452" spans="1:5">
      <c r="A2452" s="1">
        <f>IF(C2452="","",COUNTA(C$4:C2452))</f>
        <v>2428</v>
      </c>
      <c r="B2452" s="1" t="s">
        <v>4702</v>
      </c>
      <c r="C2452" s="1" t="s">
        <v>4703</v>
      </c>
      <c r="E2452">
        <f t="shared" si="38"/>
        <v>0</v>
      </c>
    </row>
    <row r="2453" spans="1:5">
      <c r="A2453" s="1">
        <f>IF(C2453="","",COUNTA(C$4:C2453))</f>
        <v>2429</v>
      </c>
      <c r="B2453" s="1" t="s">
        <v>4704</v>
      </c>
      <c r="C2453" s="1" t="s">
        <v>4705</v>
      </c>
      <c r="E2453">
        <f t="shared" si="38"/>
        <v>0</v>
      </c>
    </row>
    <row r="2454" spans="1:5">
      <c r="A2454" s="1">
        <f>IF(C2454="","",COUNTA(C$4:C2454))</f>
        <v>2430</v>
      </c>
      <c r="B2454" s="1" t="s">
        <v>4706</v>
      </c>
      <c r="C2454" s="1" t="s">
        <v>4707</v>
      </c>
      <c r="E2454">
        <f t="shared" si="38"/>
        <v>0</v>
      </c>
    </row>
    <row r="2455" spans="1:5">
      <c r="A2455" s="1">
        <f>IF(C2455="","",COUNTA(C$4:C2455))</f>
        <v>2431</v>
      </c>
      <c r="B2455" s="1" t="s">
        <v>4708</v>
      </c>
      <c r="C2455" s="1" t="s">
        <v>4709</v>
      </c>
      <c r="E2455">
        <f t="shared" si="38"/>
        <v>0</v>
      </c>
    </row>
    <row r="2456" spans="1:5">
      <c r="A2456" s="1">
        <f>IF(C2456="","",COUNTA(C$4:C2456))</f>
        <v>2432</v>
      </c>
      <c r="B2456" s="1" t="s">
        <v>4710</v>
      </c>
      <c r="C2456" s="1" t="s">
        <v>4711</v>
      </c>
      <c r="E2456">
        <f t="shared" si="38"/>
        <v>0</v>
      </c>
    </row>
    <row r="2457" spans="1:5">
      <c r="A2457" s="1">
        <f>IF(C2457="","",COUNTA(C$4:C2457))</f>
        <v>2433</v>
      </c>
      <c r="B2457" s="1" t="s">
        <v>4712</v>
      </c>
      <c r="C2457" s="1" t="s">
        <v>4713</v>
      </c>
      <c r="E2457">
        <f t="shared" si="38"/>
        <v>0</v>
      </c>
    </row>
    <row r="2458" spans="1:5">
      <c r="A2458" s="1">
        <f>IF(C2458="","",COUNTA(C$4:C2458))</f>
        <v>2434</v>
      </c>
      <c r="B2458" s="1" t="s">
        <v>4714</v>
      </c>
      <c r="C2458" s="1" t="s">
        <v>4715</v>
      </c>
      <c r="E2458">
        <f t="shared" si="38"/>
        <v>0</v>
      </c>
    </row>
    <row r="2459" spans="1:5">
      <c r="A2459" s="1">
        <f>IF(C2459="","",COUNTA(C$4:C2459))</f>
        <v>2435</v>
      </c>
      <c r="B2459" s="1" t="s">
        <v>4716</v>
      </c>
      <c r="C2459" s="1" t="s">
        <v>4717</v>
      </c>
      <c r="E2459">
        <f t="shared" si="38"/>
        <v>0</v>
      </c>
    </row>
    <row r="2460" spans="1:5">
      <c r="A2460" s="1">
        <f>IF(C2460="","",COUNTA(C$4:C2460))</f>
        <v>2436</v>
      </c>
      <c r="B2460" s="1" t="s">
        <v>4718</v>
      </c>
      <c r="C2460" s="1" t="s">
        <v>4719</v>
      </c>
      <c r="E2460">
        <f t="shared" si="38"/>
        <v>0</v>
      </c>
    </row>
    <row r="2461" spans="1:5">
      <c r="A2461" s="1">
        <f>IF(C2461="","",COUNTA(C$4:C2461))</f>
        <v>2437</v>
      </c>
      <c r="B2461" s="1" t="s">
        <v>4720</v>
      </c>
      <c r="C2461" s="1" t="s">
        <v>4721</v>
      </c>
      <c r="E2461">
        <f t="shared" si="38"/>
        <v>0</v>
      </c>
    </row>
    <row r="2462" spans="1:5">
      <c r="A2462" s="1">
        <f>IF(C2462="","",COUNTA(C$4:C2462))</f>
        <v>2438</v>
      </c>
      <c r="B2462" s="1" t="s">
        <v>4722</v>
      </c>
      <c r="C2462" s="1" t="s">
        <v>4723</v>
      </c>
      <c r="E2462">
        <f t="shared" si="38"/>
        <v>0</v>
      </c>
    </row>
    <row r="2463" spans="1:5">
      <c r="A2463" s="1">
        <f>IF(C2463="","",COUNTA(C$4:C2463))</f>
        <v>2439</v>
      </c>
      <c r="B2463" s="1" t="s">
        <v>4724</v>
      </c>
      <c r="C2463" s="1" t="s">
        <v>4725</v>
      </c>
      <c r="E2463">
        <f t="shared" si="38"/>
        <v>0</v>
      </c>
    </row>
    <row r="2464" spans="1:5">
      <c r="A2464" s="1">
        <f>IF(C2464="","",COUNTA(C$4:C2464))</f>
        <v>2440</v>
      </c>
      <c r="B2464" s="1" t="s">
        <v>4121</v>
      </c>
      <c r="C2464" s="1" t="s">
        <v>4726</v>
      </c>
      <c r="E2464">
        <f t="shared" si="38"/>
        <v>0</v>
      </c>
    </row>
    <row r="2465" spans="1:5">
      <c r="A2465" s="1">
        <f>IF(C2465="","",COUNTA(C$4:C2465))</f>
        <v>2441</v>
      </c>
      <c r="B2465" s="1" t="s">
        <v>4727</v>
      </c>
      <c r="C2465" s="1" t="s">
        <v>4728</v>
      </c>
      <c r="E2465">
        <f t="shared" si="38"/>
        <v>0</v>
      </c>
    </row>
    <row r="2466" spans="1:5">
      <c r="A2466" s="1">
        <f>IF(C2466="","",COUNTA(C$4:C2466))</f>
        <v>2442</v>
      </c>
      <c r="B2466" s="1" t="s">
        <v>4729</v>
      </c>
      <c r="C2466" s="1" t="s">
        <v>4730</v>
      </c>
      <c r="E2466">
        <f t="shared" si="38"/>
        <v>0</v>
      </c>
    </row>
    <row r="2467" spans="1:5">
      <c r="A2467" s="1">
        <f>IF(C2467="","",COUNTA(C$4:C2467))</f>
        <v>2443</v>
      </c>
      <c r="B2467" s="1" t="s">
        <v>4731</v>
      </c>
      <c r="C2467" s="1" t="s">
        <v>4732</v>
      </c>
      <c r="E2467">
        <f t="shared" si="38"/>
        <v>0</v>
      </c>
    </row>
    <row r="2468" spans="1:5">
      <c r="A2468" s="1">
        <f>IF(C2468="","",COUNTA(C$4:C2468))</f>
        <v>2444</v>
      </c>
      <c r="B2468" s="1" t="s">
        <v>3286</v>
      </c>
      <c r="C2468" s="1" t="s">
        <v>4733</v>
      </c>
      <c r="E2468">
        <f t="shared" si="38"/>
        <v>0</v>
      </c>
    </row>
    <row r="2469" spans="1:5">
      <c r="A2469" s="1">
        <f>IF(C2469="","",COUNTA(C$4:C2469))</f>
        <v>2445</v>
      </c>
      <c r="B2469" s="1" t="s">
        <v>4734</v>
      </c>
      <c r="C2469" s="1" t="s">
        <v>4735</v>
      </c>
      <c r="E2469">
        <f t="shared" si="38"/>
        <v>0</v>
      </c>
    </row>
    <row r="2470" spans="1:5">
      <c r="A2470" s="1">
        <f>IF(C2470="","",COUNTA(C$4:C2470))</f>
        <v>2446</v>
      </c>
      <c r="B2470" s="1" t="s">
        <v>4736</v>
      </c>
      <c r="C2470" s="1" t="s">
        <v>4654</v>
      </c>
      <c r="E2470">
        <f t="shared" si="38"/>
        <v>0</v>
      </c>
    </row>
    <row r="2471" spans="1:5">
      <c r="A2471" s="1">
        <f>IF(C2471="","",COUNTA(C$4:C2471))</f>
        <v>2447</v>
      </c>
      <c r="B2471" s="1" t="s">
        <v>4737</v>
      </c>
      <c r="C2471" s="1" t="s">
        <v>4738</v>
      </c>
      <c r="E2471">
        <f t="shared" si="38"/>
        <v>0</v>
      </c>
    </row>
    <row r="2472" spans="1:5">
      <c r="A2472" s="1">
        <f>IF(C2472="","",COUNTA(C$4:C2472))</f>
        <v>2448</v>
      </c>
      <c r="B2472" s="1" t="s">
        <v>4739</v>
      </c>
      <c r="C2472" s="1" t="s">
        <v>4740</v>
      </c>
      <c r="E2472">
        <f t="shared" si="38"/>
        <v>0</v>
      </c>
    </row>
    <row r="2473" spans="1:5">
      <c r="A2473" s="1">
        <f>IF(C2473="","",COUNTA(C$4:C2473))</f>
        <v>2449</v>
      </c>
      <c r="B2473" s="1" t="s">
        <v>4741</v>
      </c>
      <c r="C2473" s="1" t="s">
        <v>4742</v>
      </c>
      <c r="E2473">
        <f t="shared" si="38"/>
        <v>0</v>
      </c>
    </row>
    <row r="2474" spans="1:5">
      <c r="A2474" s="1">
        <f>IF(C2474="","",COUNTA(C$4:C2474))</f>
        <v>2450</v>
      </c>
      <c r="B2474" s="1" t="s">
        <v>4737</v>
      </c>
      <c r="C2474" s="1" t="s">
        <v>4743</v>
      </c>
      <c r="E2474">
        <f t="shared" si="38"/>
        <v>0</v>
      </c>
    </row>
    <row r="2475" spans="1:5">
      <c r="A2475" s="1">
        <f>IF(C2475="","",COUNTA(C$4:C2475))</f>
        <v>2451</v>
      </c>
      <c r="B2475" s="1" t="s">
        <v>4744</v>
      </c>
      <c r="C2475" s="1" t="s">
        <v>4745</v>
      </c>
      <c r="E2475">
        <f t="shared" si="38"/>
        <v>0</v>
      </c>
    </row>
    <row r="2476" spans="1:5">
      <c r="A2476" s="1">
        <f>IF(C2476="","",COUNTA(C$4:C2476))</f>
        <v>2452</v>
      </c>
      <c r="B2476" s="1" t="s">
        <v>3436</v>
      </c>
      <c r="C2476" s="1" t="s">
        <v>4746</v>
      </c>
      <c r="E2476">
        <f t="shared" si="38"/>
        <v>0</v>
      </c>
    </row>
    <row r="2477" spans="1:5">
      <c r="A2477" s="1">
        <f>IF(C2477="","",COUNTA(C$4:C2477))</f>
        <v>2453</v>
      </c>
      <c r="B2477" s="1" t="s">
        <v>4747</v>
      </c>
      <c r="C2477" s="1" t="s">
        <v>4748</v>
      </c>
      <c r="E2477">
        <f t="shared" si="38"/>
        <v>0</v>
      </c>
    </row>
    <row r="2478" spans="1:5">
      <c r="A2478" s="1">
        <f>IF(C2478="","",COUNTA(C$4:C2478))</f>
        <v>2454</v>
      </c>
      <c r="B2478" s="1" t="s">
        <v>4749</v>
      </c>
      <c r="C2478" s="1" t="s">
        <v>4750</v>
      </c>
      <c r="E2478">
        <f t="shared" si="38"/>
        <v>0</v>
      </c>
    </row>
    <row r="2479" spans="1:5">
      <c r="A2479" s="1">
        <f>IF(C2479="","",COUNTA(C$4:C2479))</f>
        <v>2455</v>
      </c>
      <c r="B2479" s="1" t="s">
        <v>4751</v>
      </c>
      <c r="C2479" s="1" t="s">
        <v>4752</v>
      </c>
      <c r="E2479">
        <f t="shared" si="38"/>
        <v>0</v>
      </c>
    </row>
    <row r="2480" spans="1:5">
      <c r="A2480" s="1">
        <f>IF(C2480="","",COUNTA(C$4:C2480))</f>
        <v>2456</v>
      </c>
      <c r="B2480" s="1" t="s">
        <v>4753</v>
      </c>
      <c r="C2480" s="1" t="s">
        <v>4754</v>
      </c>
      <c r="E2480">
        <f t="shared" si="38"/>
        <v>0</v>
      </c>
    </row>
    <row r="2481" spans="1:5">
      <c r="A2481" s="1">
        <f>IF(C2481="","",COUNTA(C$4:C2481))</f>
        <v>2457</v>
      </c>
      <c r="B2481" s="1" t="s">
        <v>4755</v>
      </c>
      <c r="C2481" s="1" t="s">
        <v>4756</v>
      </c>
      <c r="E2481">
        <f t="shared" si="38"/>
        <v>0</v>
      </c>
    </row>
    <row r="2482" spans="1:5">
      <c r="A2482" s="1">
        <f>IF(C2482="","",COUNTA(C$4:C2482))</f>
        <v>2458</v>
      </c>
      <c r="B2482" s="1" t="s">
        <v>4757</v>
      </c>
      <c r="C2482" s="1" t="s">
        <v>4758</v>
      </c>
      <c r="E2482">
        <f t="shared" si="38"/>
        <v>0</v>
      </c>
    </row>
    <row r="2483" spans="1:5">
      <c r="A2483" s="1">
        <f>IF(C2483="","",COUNTA(C$4:C2483))</f>
        <v>2459</v>
      </c>
      <c r="B2483" s="1" t="s">
        <v>4759</v>
      </c>
      <c r="C2483" s="1" t="s">
        <v>4760</v>
      </c>
      <c r="E2483">
        <f t="shared" si="38"/>
        <v>0</v>
      </c>
    </row>
    <row r="2484" spans="1:5">
      <c r="A2484" s="1">
        <f>IF(C2484="","",COUNTA(C$4:C2484))</f>
        <v>2460</v>
      </c>
      <c r="B2484" s="1" t="s">
        <v>4761</v>
      </c>
      <c r="C2484" s="1" t="s">
        <v>4762</v>
      </c>
      <c r="E2484">
        <f t="shared" si="38"/>
        <v>0</v>
      </c>
    </row>
    <row r="2485" spans="1:5">
      <c r="A2485" s="1">
        <f>IF(C2485="","",COUNTA(C$4:C2485))</f>
        <v>2461</v>
      </c>
      <c r="B2485" s="1" t="s">
        <v>4763</v>
      </c>
      <c r="C2485" s="1" t="s">
        <v>4764</v>
      </c>
      <c r="E2485">
        <f t="shared" si="38"/>
        <v>0</v>
      </c>
    </row>
    <row r="2486" spans="1:5">
      <c r="A2486" s="1">
        <f>IF(C2486="","",COUNTA(C$4:C2486))</f>
        <v>2462</v>
      </c>
      <c r="B2486" s="1" t="s">
        <v>4765</v>
      </c>
      <c r="C2486" s="1" t="s">
        <v>4766</v>
      </c>
      <c r="E2486">
        <f t="shared" si="38"/>
        <v>0</v>
      </c>
    </row>
    <row r="2487" spans="1:5">
      <c r="A2487" s="1">
        <f>IF(C2487="","",COUNTA(C$4:C2487))</f>
        <v>2463</v>
      </c>
      <c r="B2487" s="1" t="s">
        <v>4767</v>
      </c>
      <c r="C2487" s="1" t="s">
        <v>4768</v>
      </c>
      <c r="E2487">
        <f t="shared" si="38"/>
        <v>0</v>
      </c>
    </row>
    <row r="2488" spans="1:5">
      <c r="A2488" s="1">
        <f>IF(C2488="","",COUNTA(C$4:C2488))</f>
        <v>2464</v>
      </c>
      <c r="B2488" s="1" t="s">
        <v>4769</v>
      </c>
      <c r="C2488" s="1" t="s">
        <v>4770</v>
      </c>
      <c r="E2488">
        <f t="shared" si="38"/>
        <v>0</v>
      </c>
    </row>
    <row r="2489" spans="1:5">
      <c r="A2489" s="1">
        <f>IF(C2489="","",COUNTA(C$4:C2489))</f>
        <v>2465</v>
      </c>
      <c r="B2489" s="1" t="s">
        <v>4771</v>
      </c>
      <c r="C2489" s="1" t="s">
        <v>4772</v>
      </c>
      <c r="E2489">
        <f t="shared" si="38"/>
        <v>0</v>
      </c>
    </row>
    <row r="2490" spans="1:5">
      <c r="A2490" s="1">
        <f>IF(C2490="","",COUNTA(C$4:C2490))</f>
        <v>2466</v>
      </c>
      <c r="B2490" s="1" t="s">
        <v>4773</v>
      </c>
      <c r="C2490" s="1" t="s">
        <v>4774</v>
      </c>
      <c r="E2490">
        <f t="shared" si="38"/>
        <v>0</v>
      </c>
    </row>
    <row r="2491" spans="1:5">
      <c r="A2491" s="1">
        <f>IF(C2491="","",COUNTA(C$4:C2491))</f>
        <v>2467</v>
      </c>
      <c r="B2491" s="1" t="s">
        <v>4775</v>
      </c>
      <c r="C2491" s="1" t="s">
        <v>4776</v>
      </c>
      <c r="E2491">
        <f t="shared" si="38"/>
        <v>0</v>
      </c>
    </row>
    <row r="2492" spans="1:5">
      <c r="A2492" s="1">
        <f>IF(C2492="","",COUNTA(C$4:C2492))</f>
        <v>2468</v>
      </c>
      <c r="B2492" s="1" t="s">
        <v>4777</v>
      </c>
      <c r="C2492" s="1" t="s">
        <v>4778</v>
      </c>
      <c r="E2492">
        <f t="shared" si="38"/>
        <v>0</v>
      </c>
    </row>
    <row r="2493" spans="1:5">
      <c r="A2493" s="1">
        <f>IF(C2493="","",COUNTA(C$4:C2493))</f>
        <v>2469</v>
      </c>
      <c r="B2493" s="1" t="s">
        <v>4167</v>
      </c>
      <c r="C2493" s="1" t="s">
        <v>4779</v>
      </c>
      <c r="E2493">
        <f t="shared" si="38"/>
        <v>0</v>
      </c>
    </row>
    <row r="2494" spans="1:5">
      <c r="A2494" s="1">
        <f>IF(C2494="","",COUNTA(C$4:C2494))</f>
        <v>2470</v>
      </c>
      <c r="B2494" s="1" t="s">
        <v>4780</v>
      </c>
      <c r="C2494" s="1" t="s">
        <v>4781</v>
      </c>
      <c r="E2494">
        <f t="shared" si="38"/>
        <v>0</v>
      </c>
    </row>
    <row r="2495" spans="1:5">
      <c r="A2495" s="1">
        <f>IF(C2495="","",COUNTA(C$4:C2495))</f>
        <v>2471</v>
      </c>
      <c r="B2495" s="1" t="s">
        <v>4782</v>
      </c>
      <c r="C2495" s="1" t="s">
        <v>4783</v>
      </c>
      <c r="E2495">
        <f t="shared" si="38"/>
        <v>0</v>
      </c>
    </row>
    <row r="2496" spans="1:5">
      <c r="A2496" s="1">
        <f>IF(C2496="","",COUNTA(C$4:C2496))</f>
        <v>2472</v>
      </c>
      <c r="B2496" s="1" t="s">
        <v>4784</v>
      </c>
      <c r="C2496" s="1" t="s">
        <v>4785</v>
      </c>
      <c r="E2496">
        <f t="shared" si="38"/>
        <v>0</v>
      </c>
    </row>
    <row r="2497" spans="1:5">
      <c r="A2497" s="1">
        <f>IF(C2497="","",COUNTA(C$4:C2497))</f>
        <v>2473</v>
      </c>
      <c r="B2497" s="1" t="s">
        <v>4786</v>
      </c>
      <c r="C2497" s="1" t="s">
        <v>4787</v>
      </c>
      <c r="E2497">
        <f t="shared" si="38"/>
        <v>0</v>
      </c>
    </row>
    <row r="2498" spans="1:5">
      <c r="A2498" s="1">
        <f>IF(C2498="","",COUNTA(C$4:C2498))</f>
        <v>2474</v>
      </c>
      <c r="B2498" s="1" t="s">
        <v>4788</v>
      </c>
      <c r="C2498" s="1" t="s">
        <v>4789</v>
      </c>
      <c r="E2498">
        <f t="shared" si="38"/>
        <v>0</v>
      </c>
    </row>
    <row r="2499" spans="1:5">
      <c r="A2499" s="1">
        <f>IF(C2499="","",COUNTA(C$4:C2499))</f>
        <v>2475</v>
      </c>
      <c r="B2499" s="1" t="s">
        <v>4790</v>
      </c>
      <c r="C2499" s="1" t="s">
        <v>4791</v>
      </c>
      <c r="E2499">
        <f t="shared" si="38"/>
        <v>0</v>
      </c>
    </row>
    <row r="2500" spans="1:5">
      <c r="A2500" s="1">
        <f>IF(C2500="","",COUNTA(C$4:C2500))</f>
        <v>2476</v>
      </c>
      <c r="B2500" s="1" t="s">
        <v>4792</v>
      </c>
      <c r="C2500" s="1" t="s">
        <v>4793</v>
      </c>
      <c r="E2500">
        <f t="shared" si="38"/>
        <v>0</v>
      </c>
    </row>
    <row r="2501" spans="1:5">
      <c r="A2501" s="1">
        <f>IF(C2501="","",COUNTA(C$4:C2501))</f>
        <v>2477</v>
      </c>
      <c r="B2501" s="1" t="s">
        <v>4794</v>
      </c>
      <c r="C2501" s="1" t="s">
        <v>4795</v>
      </c>
      <c r="E2501">
        <f t="shared" ref="E2501:E2564" si="39">IF(C2501=D2501,1,0)</f>
        <v>0</v>
      </c>
    </row>
    <row r="2502" spans="1:5">
      <c r="A2502" s="1">
        <f>IF(C2502="","",COUNTA(C$4:C2502))</f>
        <v>2478</v>
      </c>
      <c r="B2502" s="1" t="s">
        <v>4796</v>
      </c>
      <c r="C2502" s="1" t="s">
        <v>4797</v>
      </c>
      <c r="E2502">
        <f t="shared" si="39"/>
        <v>0</v>
      </c>
    </row>
    <row r="2503" spans="1:5">
      <c r="A2503" s="1">
        <f>IF(C2503="","",COUNTA(C$4:C2503))</f>
        <v>2479</v>
      </c>
      <c r="B2503" s="1" t="s">
        <v>4798</v>
      </c>
      <c r="C2503" s="1" t="s">
        <v>4799</v>
      </c>
      <c r="E2503">
        <f t="shared" si="39"/>
        <v>0</v>
      </c>
    </row>
    <row r="2504" spans="1:5">
      <c r="A2504" s="1">
        <f>IF(C2504="","",COUNTA(C$4:C2504))</f>
        <v>2480</v>
      </c>
      <c r="B2504" s="1" t="s">
        <v>4800</v>
      </c>
      <c r="C2504" s="1" t="s">
        <v>4801</v>
      </c>
      <c r="E2504">
        <f t="shared" si="39"/>
        <v>0</v>
      </c>
    </row>
    <row r="2505" spans="1:5">
      <c r="A2505" s="1">
        <f>IF(C2505="","",COUNTA(C$4:C2505))</f>
        <v>2481</v>
      </c>
      <c r="B2505" s="1" t="s">
        <v>4802</v>
      </c>
      <c r="C2505" s="1" t="s">
        <v>4803</v>
      </c>
      <c r="E2505">
        <f t="shared" si="39"/>
        <v>0</v>
      </c>
    </row>
    <row r="2506" spans="1:5">
      <c r="A2506" s="1">
        <f>IF(C2506="","",COUNTA(C$4:C2506))</f>
        <v>2482</v>
      </c>
      <c r="B2506" s="1" t="s">
        <v>4804</v>
      </c>
      <c r="C2506" s="1" t="s">
        <v>4805</v>
      </c>
      <c r="E2506">
        <f t="shared" si="39"/>
        <v>0</v>
      </c>
    </row>
    <row r="2507" spans="1:5">
      <c r="A2507" s="1">
        <f>IF(C2507="","",COUNTA(C$4:C2507))</f>
        <v>2483</v>
      </c>
      <c r="B2507" s="1" t="s">
        <v>4806</v>
      </c>
      <c r="C2507" s="1" t="s">
        <v>4807</v>
      </c>
      <c r="E2507">
        <f t="shared" si="39"/>
        <v>0</v>
      </c>
    </row>
    <row r="2508" spans="1:5">
      <c r="A2508" s="1">
        <f>IF(C2508="","",COUNTA(C$4:C2508))</f>
        <v>2484</v>
      </c>
      <c r="B2508" s="1" t="s">
        <v>4808</v>
      </c>
      <c r="C2508" s="1" t="s">
        <v>4809</v>
      </c>
      <c r="E2508">
        <f t="shared" si="39"/>
        <v>0</v>
      </c>
    </row>
    <row r="2509" spans="1:5">
      <c r="A2509" s="1">
        <f>IF(C2509="","",COUNTA(C$4:C2509))</f>
        <v>2485</v>
      </c>
      <c r="B2509" s="1" t="s">
        <v>4810</v>
      </c>
      <c r="C2509" s="1" t="s">
        <v>4811</v>
      </c>
      <c r="E2509">
        <f t="shared" si="39"/>
        <v>0</v>
      </c>
    </row>
    <row r="2510" spans="1:5">
      <c r="A2510" s="1">
        <f>IF(C2510="","",COUNTA(C$4:C2510))</f>
        <v>2486</v>
      </c>
      <c r="B2510" s="1" t="s">
        <v>4812</v>
      </c>
      <c r="C2510" s="1" t="s">
        <v>4813</v>
      </c>
      <c r="E2510">
        <f t="shared" si="39"/>
        <v>0</v>
      </c>
    </row>
    <row r="2511" spans="1:5">
      <c r="A2511" s="1">
        <f>IF(C2511="","",COUNTA(C$4:C2511))</f>
        <v>2487</v>
      </c>
      <c r="B2511" s="1" t="s">
        <v>4814</v>
      </c>
      <c r="C2511" s="1" t="s">
        <v>4815</v>
      </c>
      <c r="E2511">
        <f t="shared" si="39"/>
        <v>0</v>
      </c>
    </row>
    <row r="2512" spans="1:5">
      <c r="A2512" s="1">
        <f>IF(C2512="","",COUNTA(C$4:C2512))</f>
        <v>2488</v>
      </c>
      <c r="B2512" s="1" t="s">
        <v>4814</v>
      </c>
      <c r="C2512" s="1" t="s">
        <v>4816</v>
      </c>
      <c r="E2512">
        <f t="shared" si="39"/>
        <v>0</v>
      </c>
    </row>
    <row r="2513" spans="1:5">
      <c r="A2513" s="1">
        <f>IF(C2513="","",COUNTA(C$4:C2513))</f>
        <v>2489</v>
      </c>
      <c r="B2513" s="1" t="s">
        <v>4817</v>
      </c>
      <c r="C2513" s="1" t="s">
        <v>4818</v>
      </c>
      <c r="E2513">
        <f t="shared" si="39"/>
        <v>0</v>
      </c>
    </row>
    <row r="2514" spans="1:5">
      <c r="A2514" s="1">
        <f>IF(C2514="","",COUNTA(C$4:C2514))</f>
        <v>2490</v>
      </c>
      <c r="B2514" s="1" t="s">
        <v>4819</v>
      </c>
      <c r="C2514" s="1" t="s">
        <v>4820</v>
      </c>
      <c r="E2514">
        <f t="shared" si="39"/>
        <v>0</v>
      </c>
    </row>
    <row r="2515" spans="1:5">
      <c r="A2515" s="1">
        <f>IF(C2515="","",COUNTA(C$4:C2515))</f>
        <v>2491</v>
      </c>
      <c r="B2515" s="1" t="s">
        <v>4821</v>
      </c>
      <c r="C2515" s="1" t="s">
        <v>4822</v>
      </c>
      <c r="E2515">
        <f t="shared" si="39"/>
        <v>0</v>
      </c>
    </row>
    <row r="2516" spans="1:5">
      <c r="A2516" s="1">
        <f>IF(C2516="","",COUNTA(C$4:C2516))</f>
        <v>2492</v>
      </c>
      <c r="B2516" s="1" t="s">
        <v>4823</v>
      </c>
      <c r="C2516" s="1" t="s">
        <v>4824</v>
      </c>
      <c r="E2516">
        <f t="shared" si="39"/>
        <v>0</v>
      </c>
    </row>
    <row r="2517" spans="1:5">
      <c r="A2517" s="1">
        <f>IF(C2517="","",COUNTA(C$4:C2517))</f>
        <v>2493</v>
      </c>
      <c r="B2517" s="1" t="s">
        <v>4825</v>
      </c>
      <c r="C2517" s="1" t="s">
        <v>4826</v>
      </c>
      <c r="E2517">
        <f t="shared" si="39"/>
        <v>0</v>
      </c>
    </row>
    <row r="2518" spans="1:5">
      <c r="A2518" s="1">
        <f>IF(C2518="","",COUNTA(C$4:C2518))</f>
        <v>2494</v>
      </c>
      <c r="B2518" s="1" t="s">
        <v>4827</v>
      </c>
      <c r="C2518" s="1" t="s">
        <v>4828</v>
      </c>
      <c r="E2518">
        <f t="shared" si="39"/>
        <v>0</v>
      </c>
    </row>
    <row r="2519" spans="1:5">
      <c r="A2519" s="1">
        <f>IF(C2519="","",COUNTA(C$4:C2519))</f>
        <v>2495</v>
      </c>
      <c r="B2519" s="1" t="s">
        <v>4829</v>
      </c>
      <c r="C2519" s="1" t="s">
        <v>4830</v>
      </c>
      <c r="E2519">
        <f t="shared" si="39"/>
        <v>0</v>
      </c>
    </row>
    <row r="2520" spans="1:5">
      <c r="A2520" s="1">
        <f>IF(C2520="","",COUNTA(C$4:C2520))</f>
        <v>2496</v>
      </c>
      <c r="B2520" s="1" t="s">
        <v>4831</v>
      </c>
      <c r="C2520" s="1" t="s">
        <v>4832</v>
      </c>
      <c r="E2520">
        <f t="shared" si="39"/>
        <v>0</v>
      </c>
    </row>
    <row r="2521" spans="1:5">
      <c r="A2521" s="1">
        <f>IF(C2521="","",COUNTA(C$4:C2521))</f>
        <v>2497</v>
      </c>
      <c r="B2521" s="1" t="s">
        <v>4833</v>
      </c>
      <c r="C2521" s="1" t="s">
        <v>4834</v>
      </c>
      <c r="E2521">
        <f t="shared" si="39"/>
        <v>0</v>
      </c>
    </row>
    <row r="2522" spans="1:5">
      <c r="A2522" s="1">
        <f>IF(C2522="","",COUNTA(C$4:C2522))</f>
        <v>2498</v>
      </c>
      <c r="B2522" s="1" t="s">
        <v>4835</v>
      </c>
      <c r="C2522" s="1" t="s">
        <v>4836</v>
      </c>
      <c r="E2522">
        <f t="shared" si="39"/>
        <v>0</v>
      </c>
    </row>
    <row r="2523" spans="1:5">
      <c r="A2523" s="1">
        <f>IF(C2523="","",COUNTA(C$4:C2523))</f>
        <v>2499</v>
      </c>
      <c r="B2523" s="1" t="s">
        <v>4837</v>
      </c>
      <c r="C2523" s="1" t="s">
        <v>4838</v>
      </c>
      <c r="E2523">
        <f t="shared" si="39"/>
        <v>0</v>
      </c>
    </row>
    <row r="2524" spans="1:5">
      <c r="A2524" s="1">
        <f>IF(C2524="","",COUNTA(C$4:C2524))</f>
        <v>2500</v>
      </c>
      <c r="B2524" s="1" t="s">
        <v>4839</v>
      </c>
      <c r="C2524" s="1" t="s">
        <v>4840</v>
      </c>
      <c r="E2524">
        <f t="shared" si="39"/>
        <v>0</v>
      </c>
    </row>
    <row r="2525" spans="1:5">
      <c r="A2525" s="1">
        <f>IF(C2525="","",COUNTA(C$4:C2525))</f>
        <v>2501</v>
      </c>
      <c r="B2525" s="1" t="s">
        <v>4841</v>
      </c>
      <c r="C2525" s="1" t="s">
        <v>4842</v>
      </c>
      <c r="E2525">
        <f t="shared" si="39"/>
        <v>0</v>
      </c>
    </row>
    <row r="2526" spans="1:5">
      <c r="A2526" s="1">
        <f>IF(C2526="","",COUNTA(C$4:C2526))</f>
        <v>2502</v>
      </c>
      <c r="B2526" s="1" t="s">
        <v>4843</v>
      </c>
      <c r="C2526" s="1" t="s">
        <v>4844</v>
      </c>
      <c r="E2526">
        <f t="shared" si="39"/>
        <v>0</v>
      </c>
    </row>
    <row r="2527" spans="1:5">
      <c r="A2527" s="1">
        <f>IF(C2527="","",COUNTA(C$4:C2527))</f>
        <v>2503</v>
      </c>
      <c r="B2527" s="1" t="s">
        <v>4845</v>
      </c>
      <c r="C2527" s="1" t="s">
        <v>4846</v>
      </c>
      <c r="E2527">
        <f t="shared" si="39"/>
        <v>0</v>
      </c>
    </row>
    <row r="2528" spans="1:5">
      <c r="A2528" s="1">
        <f>IF(C2528="","",COUNTA(C$4:C2528))</f>
        <v>2504</v>
      </c>
      <c r="B2528" s="1" t="s">
        <v>4847</v>
      </c>
      <c r="C2528" s="1" t="s">
        <v>4848</v>
      </c>
      <c r="E2528">
        <f t="shared" si="39"/>
        <v>0</v>
      </c>
    </row>
    <row r="2529" spans="1:5">
      <c r="A2529" s="1">
        <f>IF(C2529="","",COUNTA(C$4:C2529))</f>
        <v>2505</v>
      </c>
      <c r="B2529" s="1" t="s">
        <v>4849</v>
      </c>
      <c r="C2529" s="1" t="s">
        <v>4850</v>
      </c>
      <c r="E2529">
        <f t="shared" si="39"/>
        <v>0</v>
      </c>
    </row>
    <row r="2530" spans="1:5">
      <c r="A2530" s="1">
        <f>IF(C2530="","",COUNTA(C$4:C2530))</f>
        <v>2506</v>
      </c>
      <c r="B2530" s="1" t="s">
        <v>4851</v>
      </c>
      <c r="C2530" s="1" t="s">
        <v>4852</v>
      </c>
      <c r="E2530">
        <f t="shared" si="39"/>
        <v>0</v>
      </c>
    </row>
    <row r="2531" spans="1:5">
      <c r="A2531" s="1">
        <f>IF(C2531="","",COUNTA(C$4:C2531))</f>
        <v>2507</v>
      </c>
      <c r="B2531" s="1" t="s">
        <v>4853</v>
      </c>
      <c r="C2531" s="1" t="s">
        <v>4854</v>
      </c>
      <c r="E2531">
        <f t="shared" si="39"/>
        <v>0</v>
      </c>
    </row>
    <row r="2532" spans="1:5">
      <c r="A2532" s="1">
        <f>IF(C2532="","",COUNTA(C$4:C2532))</f>
        <v>2508</v>
      </c>
      <c r="B2532" s="1" t="s">
        <v>4855</v>
      </c>
      <c r="C2532" s="1" t="s">
        <v>4856</v>
      </c>
      <c r="E2532">
        <f t="shared" si="39"/>
        <v>0</v>
      </c>
    </row>
    <row r="2533" spans="1:5">
      <c r="A2533" s="1">
        <f>IF(C2533="","",COUNTA(C$4:C2533))</f>
        <v>2509</v>
      </c>
      <c r="B2533" s="1" t="s">
        <v>4857</v>
      </c>
      <c r="C2533" s="3" t="s">
        <v>4858</v>
      </c>
      <c r="E2533">
        <f t="shared" si="39"/>
        <v>0</v>
      </c>
    </row>
    <row r="2534" spans="1:5">
      <c r="A2534" s="1">
        <f>IF(C2534="","",COUNTA(C$4:C2534))</f>
        <v>2510</v>
      </c>
      <c r="B2534" s="1" t="s">
        <v>4859</v>
      </c>
      <c r="C2534" s="1" t="s">
        <v>4860</v>
      </c>
      <c r="E2534">
        <f t="shared" si="39"/>
        <v>0</v>
      </c>
    </row>
    <row r="2535" spans="1:5">
      <c r="A2535" s="1">
        <f>IF(C2535="","",COUNTA(C$4:C2535))</f>
        <v>2511</v>
      </c>
      <c r="B2535" s="1" t="s">
        <v>4861</v>
      </c>
      <c r="C2535" s="1" t="s">
        <v>4862</v>
      </c>
      <c r="E2535">
        <f t="shared" si="39"/>
        <v>0</v>
      </c>
    </row>
    <row r="2536" spans="1:5">
      <c r="A2536" s="1">
        <f>IF(C2536="","",COUNTA(C$4:C2536))</f>
        <v>2512</v>
      </c>
      <c r="B2536" s="1" t="s">
        <v>4863</v>
      </c>
      <c r="C2536" s="1" t="s">
        <v>4864</v>
      </c>
      <c r="E2536">
        <f t="shared" si="39"/>
        <v>0</v>
      </c>
    </row>
    <row r="2537" spans="1:5">
      <c r="A2537" s="1">
        <f>IF(C2537="","",COUNTA(C$4:C2537))</f>
        <v>2513</v>
      </c>
      <c r="B2537" s="1" t="s">
        <v>4865</v>
      </c>
      <c r="C2537" s="1" t="s">
        <v>4866</v>
      </c>
      <c r="E2537">
        <f t="shared" si="39"/>
        <v>0</v>
      </c>
    </row>
    <row r="2538" spans="1:5">
      <c r="A2538" s="1">
        <f>IF(C2538="","",COUNTA(C$4:C2538))</f>
        <v>2514</v>
      </c>
      <c r="B2538" s="1" t="s">
        <v>4867</v>
      </c>
      <c r="C2538" s="1" t="s">
        <v>4868</v>
      </c>
      <c r="E2538">
        <f t="shared" si="39"/>
        <v>0</v>
      </c>
    </row>
    <row r="2539" spans="1:5">
      <c r="A2539" s="1">
        <f>IF(C2539="","",COUNTA(C$4:C2539))</f>
        <v>2515</v>
      </c>
      <c r="B2539" s="1" t="s">
        <v>4869</v>
      </c>
      <c r="C2539" s="1" t="s">
        <v>4870</v>
      </c>
      <c r="E2539">
        <f t="shared" si="39"/>
        <v>0</v>
      </c>
    </row>
    <row r="2540" spans="1:5">
      <c r="A2540" s="1">
        <f>IF(C2540="","",COUNTA(C$4:C2540))</f>
        <v>2516</v>
      </c>
      <c r="B2540" s="1" t="s">
        <v>4871</v>
      </c>
      <c r="C2540" s="1" t="s">
        <v>4872</v>
      </c>
      <c r="E2540">
        <f t="shared" si="39"/>
        <v>0</v>
      </c>
    </row>
    <row r="2541" spans="1:5">
      <c r="A2541" s="1">
        <f>IF(C2541="","",COUNTA(C$4:C2541))</f>
        <v>2517</v>
      </c>
      <c r="B2541" s="1" t="s">
        <v>4873</v>
      </c>
      <c r="C2541" s="1" t="s">
        <v>4874</v>
      </c>
      <c r="E2541">
        <f t="shared" si="39"/>
        <v>0</v>
      </c>
    </row>
    <row r="2542" spans="1:5">
      <c r="A2542" s="1">
        <f>IF(C2542="","",COUNTA(C$4:C2542))</f>
        <v>2518</v>
      </c>
      <c r="B2542" s="1" t="s">
        <v>4875</v>
      </c>
      <c r="C2542" s="1" t="s">
        <v>4876</v>
      </c>
      <c r="E2542">
        <f t="shared" si="39"/>
        <v>0</v>
      </c>
    </row>
    <row r="2543" spans="1:5">
      <c r="A2543" s="1">
        <f>IF(C2543="","",COUNTA(C$4:C2543))</f>
        <v>2519</v>
      </c>
      <c r="B2543" s="1" t="s">
        <v>4877</v>
      </c>
      <c r="C2543" s="1" t="s">
        <v>4878</v>
      </c>
      <c r="E2543">
        <f t="shared" si="39"/>
        <v>0</v>
      </c>
    </row>
    <row r="2544" spans="1:5">
      <c r="A2544" s="1">
        <f>IF(C2544="","",COUNTA(C$4:C2544))</f>
        <v>2520</v>
      </c>
      <c r="B2544" s="1" t="s">
        <v>4879</v>
      </c>
      <c r="C2544" s="1" t="s">
        <v>4880</v>
      </c>
      <c r="E2544">
        <f t="shared" si="39"/>
        <v>0</v>
      </c>
    </row>
    <row r="2545" spans="1:5">
      <c r="A2545" s="1">
        <f>IF(C2545="","",COUNTA(C$4:C2545))</f>
        <v>2521</v>
      </c>
      <c r="B2545" s="1" t="s">
        <v>4879</v>
      </c>
      <c r="C2545" s="1" t="s">
        <v>4881</v>
      </c>
      <c r="E2545">
        <f t="shared" si="39"/>
        <v>0</v>
      </c>
    </row>
    <row r="2546" spans="1:5">
      <c r="A2546" s="1">
        <f>IF(C2546="","",COUNTA(C$4:C2546))</f>
        <v>2522</v>
      </c>
      <c r="B2546" s="1" t="s">
        <v>4882</v>
      </c>
      <c r="C2546" s="1" t="s">
        <v>4883</v>
      </c>
      <c r="E2546">
        <f t="shared" si="39"/>
        <v>0</v>
      </c>
    </row>
    <row r="2547" spans="1:5">
      <c r="A2547" s="1">
        <f>IF(C2547="","",COUNTA(C$4:C2547))</f>
        <v>2523</v>
      </c>
      <c r="B2547" s="1" t="s">
        <v>4884</v>
      </c>
      <c r="C2547" s="1" t="s">
        <v>4885</v>
      </c>
      <c r="E2547">
        <f t="shared" si="39"/>
        <v>0</v>
      </c>
    </row>
    <row r="2548" spans="1:5">
      <c r="A2548" s="1">
        <f>IF(C2548="","",COUNTA(C$4:C2548))</f>
        <v>2524</v>
      </c>
      <c r="B2548" s="1" t="s">
        <v>4886</v>
      </c>
      <c r="C2548" s="1" t="s">
        <v>4887</v>
      </c>
      <c r="E2548">
        <f t="shared" si="39"/>
        <v>0</v>
      </c>
    </row>
    <row r="2549" spans="1:5">
      <c r="A2549" s="1">
        <f>IF(C2549="","",COUNTA(C$4:C2549))</f>
        <v>2525</v>
      </c>
      <c r="B2549" s="1" t="s">
        <v>4888</v>
      </c>
      <c r="C2549" s="1" t="s">
        <v>4889</v>
      </c>
      <c r="E2549">
        <f t="shared" si="39"/>
        <v>0</v>
      </c>
    </row>
    <row r="2550" spans="1:5">
      <c r="A2550" s="1">
        <f>IF(C2550="","",COUNTA(C$4:C2550))</f>
        <v>2526</v>
      </c>
      <c r="B2550" s="1" t="s">
        <v>4890</v>
      </c>
      <c r="C2550" s="1" t="s">
        <v>4891</v>
      </c>
      <c r="E2550">
        <f t="shared" si="39"/>
        <v>0</v>
      </c>
    </row>
    <row r="2551" spans="1:5">
      <c r="A2551" s="1">
        <f>IF(C2551="","",COUNTA(C$4:C2551))</f>
        <v>2527</v>
      </c>
      <c r="B2551" s="1" t="s">
        <v>4892</v>
      </c>
      <c r="C2551" s="1" t="s">
        <v>4893</v>
      </c>
      <c r="E2551">
        <f t="shared" si="39"/>
        <v>0</v>
      </c>
    </row>
    <row r="2552" spans="1:5">
      <c r="A2552" s="1">
        <f>IF(C2552="","",COUNTA(C$4:C2552))</f>
        <v>2528</v>
      </c>
      <c r="B2552" s="1" t="s">
        <v>4894</v>
      </c>
      <c r="C2552" s="1" t="s">
        <v>4895</v>
      </c>
      <c r="E2552">
        <f t="shared" si="39"/>
        <v>0</v>
      </c>
    </row>
    <row r="2553" spans="1:5">
      <c r="A2553" s="1">
        <f>IF(C2553="","",COUNTA(C$4:C2553))</f>
        <v>2529</v>
      </c>
      <c r="B2553" s="1" t="s">
        <v>4896</v>
      </c>
      <c r="C2553" s="1" t="s">
        <v>4897</v>
      </c>
      <c r="E2553">
        <f t="shared" si="39"/>
        <v>0</v>
      </c>
    </row>
    <row r="2554" spans="1:5">
      <c r="A2554" s="1">
        <f>IF(C2554="","",COUNTA(C$4:C2554))</f>
        <v>2530</v>
      </c>
      <c r="B2554" s="1" t="s">
        <v>4894</v>
      </c>
      <c r="C2554" s="1" t="s">
        <v>4898</v>
      </c>
      <c r="E2554">
        <f t="shared" si="39"/>
        <v>0</v>
      </c>
    </row>
    <row r="2555" spans="1:5">
      <c r="A2555" s="1">
        <f>IF(C2555="","",COUNTA(C$4:C2555))</f>
        <v>2531</v>
      </c>
      <c r="B2555" s="1" t="s">
        <v>4899</v>
      </c>
      <c r="C2555" s="1" t="s">
        <v>4900</v>
      </c>
      <c r="E2555">
        <f t="shared" si="39"/>
        <v>0</v>
      </c>
    </row>
    <row r="2556" spans="1:5">
      <c r="A2556" s="1">
        <f>IF(C2556="","",COUNTA(C$4:C2556))</f>
        <v>2532</v>
      </c>
      <c r="B2556" s="1" t="s">
        <v>4901</v>
      </c>
      <c r="C2556" s="1" t="s">
        <v>4902</v>
      </c>
      <c r="E2556">
        <f t="shared" si="39"/>
        <v>0</v>
      </c>
    </row>
    <row r="2557" spans="1:5">
      <c r="A2557" s="1">
        <f>IF(C2557="","",COUNTA(C$4:C2557))</f>
        <v>2533</v>
      </c>
      <c r="B2557" s="1" t="s">
        <v>4903</v>
      </c>
      <c r="C2557" s="1" t="s">
        <v>4904</v>
      </c>
      <c r="E2557">
        <f t="shared" si="39"/>
        <v>0</v>
      </c>
    </row>
    <row r="2558" spans="1:5">
      <c r="A2558" s="1">
        <f>IF(C2558="","",COUNTA(C$4:C2558))</f>
        <v>2534</v>
      </c>
      <c r="B2558" s="1" t="s">
        <v>4905</v>
      </c>
      <c r="C2558" s="1" t="s">
        <v>4906</v>
      </c>
      <c r="E2558">
        <f t="shared" si="39"/>
        <v>0</v>
      </c>
    </row>
    <row r="2559" spans="1:5">
      <c r="A2559" s="1">
        <f>IF(C2559="","",COUNTA(C$4:C2559))</f>
        <v>2535</v>
      </c>
      <c r="B2559" s="1" t="s">
        <v>4907</v>
      </c>
      <c r="C2559" s="1" t="s">
        <v>4908</v>
      </c>
      <c r="E2559">
        <f t="shared" si="39"/>
        <v>0</v>
      </c>
    </row>
    <row r="2560" spans="1:5">
      <c r="A2560" s="1">
        <f>IF(C2560="","",COUNTA(C$4:C2560))</f>
        <v>2536</v>
      </c>
      <c r="B2560" s="1" t="s">
        <v>4905</v>
      </c>
      <c r="C2560" s="1" t="s">
        <v>4909</v>
      </c>
      <c r="E2560">
        <f t="shared" si="39"/>
        <v>0</v>
      </c>
    </row>
    <row r="2561" spans="1:5">
      <c r="A2561" s="1">
        <f>IF(C2561="","",COUNTA(C$4:C2561))</f>
        <v>2537</v>
      </c>
      <c r="B2561" s="1" t="s">
        <v>3659</v>
      </c>
      <c r="C2561" s="1" t="s">
        <v>4910</v>
      </c>
      <c r="E2561">
        <f t="shared" si="39"/>
        <v>0</v>
      </c>
    </row>
    <row r="2562" spans="1:5">
      <c r="A2562" s="1">
        <f>IF(C2562="","",COUNTA(C$4:C2562))</f>
        <v>2538</v>
      </c>
      <c r="B2562" s="1" t="s">
        <v>4911</v>
      </c>
      <c r="C2562" s="1" t="s">
        <v>4912</v>
      </c>
      <c r="E2562">
        <f t="shared" si="39"/>
        <v>0</v>
      </c>
    </row>
    <row r="2563" spans="1:5">
      <c r="A2563" s="1">
        <f>IF(C2563="","",COUNTA(C$4:C2563))</f>
        <v>2539</v>
      </c>
      <c r="B2563" s="1" t="s">
        <v>4913</v>
      </c>
      <c r="C2563" s="1" t="s">
        <v>4914</v>
      </c>
      <c r="E2563">
        <f t="shared" si="39"/>
        <v>0</v>
      </c>
    </row>
    <row r="2564" spans="1:5">
      <c r="A2564" s="1">
        <f>IF(C2564="","",COUNTA(C$4:C2564))</f>
        <v>2540</v>
      </c>
      <c r="B2564" s="1" t="s">
        <v>4915</v>
      </c>
      <c r="C2564" s="1" t="s">
        <v>4916</v>
      </c>
      <c r="E2564">
        <f t="shared" si="39"/>
        <v>0</v>
      </c>
    </row>
    <row r="2565" spans="1:5">
      <c r="A2565" s="1">
        <f>IF(C2565="","",COUNTA(C$4:C2565))</f>
        <v>2541</v>
      </c>
      <c r="B2565" s="1" t="s">
        <v>4915</v>
      </c>
      <c r="C2565" s="1" t="s">
        <v>4917</v>
      </c>
      <c r="E2565">
        <f t="shared" ref="E2565:E2628" si="40">IF(C2565=D2565,1,0)</f>
        <v>0</v>
      </c>
    </row>
    <row r="2566" spans="1:5">
      <c r="A2566" s="1">
        <f>IF(C2566="","",COUNTA(C$4:C2566))</f>
        <v>2542</v>
      </c>
      <c r="B2566" s="1" t="s">
        <v>4918</v>
      </c>
      <c r="C2566" s="1" t="s">
        <v>4919</v>
      </c>
      <c r="E2566">
        <f t="shared" si="40"/>
        <v>0</v>
      </c>
    </row>
    <row r="2567" spans="1:5">
      <c r="A2567" s="1">
        <f>IF(C2567="","",COUNTA(C$4:C2567))</f>
        <v>2543</v>
      </c>
      <c r="B2567" s="1" t="s">
        <v>4920</v>
      </c>
      <c r="C2567" s="1" t="s">
        <v>4921</v>
      </c>
      <c r="E2567">
        <f t="shared" si="40"/>
        <v>0</v>
      </c>
    </row>
    <row r="2568" spans="1:5">
      <c r="A2568" s="1">
        <f>IF(C2568="","",COUNTA(C$4:C2568))</f>
        <v>2544</v>
      </c>
      <c r="B2568" s="1" t="s">
        <v>4922</v>
      </c>
      <c r="C2568" s="1" t="s">
        <v>4923</v>
      </c>
      <c r="E2568">
        <f t="shared" si="40"/>
        <v>0</v>
      </c>
    </row>
    <row r="2569" spans="1:5">
      <c r="A2569" s="1">
        <f>IF(C2569="","",COUNTA(C$4:C2569))</f>
        <v>2545</v>
      </c>
      <c r="B2569" s="1" t="s">
        <v>4924</v>
      </c>
      <c r="C2569" s="1" t="s">
        <v>4925</v>
      </c>
      <c r="E2569">
        <f t="shared" si="40"/>
        <v>0</v>
      </c>
    </row>
    <row r="2570" spans="1:5">
      <c r="A2570" s="1">
        <f>IF(C2570="","",COUNTA(C$4:C2570))</f>
        <v>2546</v>
      </c>
      <c r="B2570" s="1" t="s">
        <v>4926</v>
      </c>
      <c r="C2570" s="1" t="s">
        <v>4927</v>
      </c>
      <c r="E2570">
        <f t="shared" si="40"/>
        <v>0</v>
      </c>
    </row>
    <row r="2571" spans="1:5">
      <c r="A2571" s="12" t="s">
        <v>4928</v>
      </c>
      <c r="B2571" s="13"/>
      <c r="C2571" s="14"/>
      <c r="D2571" s="9"/>
      <c r="E2571">
        <f t="shared" si="40"/>
        <v>1</v>
      </c>
    </row>
    <row r="2572" spans="1:5">
      <c r="A2572" s="1">
        <f>IF(C2572="","",COUNTA(C$4:C2572))</f>
        <v>2547</v>
      </c>
      <c r="B2572" s="1" t="s">
        <v>4929</v>
      </c>
      <c r="C2572" s="1" t="s">
        <v>4930</v>
      </c>
      <c r="E2572">
        <f t="shared" si="40"/>
        <v>0</v>
      </c>
    </row>
    <row r="2573" spans="1:5">
      <c r="A2573" s="1">
        <f>IF(C2573="","",COUNTA(C$4:C2573))</f>
        <v>2548</v>
      </c>
      <c r="B2573" s="1" t="s">
        <v>4931</v>
      </c>
      <c r="C2573" s="1" t="s">
        <v>4932</v>
      </c>
      <c r="E2573">
        <f t="shared" si="40"/>
        <v>0</v>
      </c>
    </row>
    <row r="2574" spans="1:5">
      <c r="A2574" s="1">
        <f>IF(C2574="","",COUNTA(C$4:C2574))</f>
        <v>2549</v>
      </c>
      <c r="B2574" s="1" t="s">
        <v>4933</v>
      </c>
      <c r="C2574" s="1" t="s">
        <v>4934</v>
      </c>
      <c r="E2574">
        <f t="shared" si="40"/>
        <v>0</v>
      </c>
    </row>
    <row r="2575" spans="1:5">
      <c r="A2575" s="1">
        <f>IF(C2575="","",COUNTA(C$4:C2575))</f>
        <v>2550</v>
      </c>
      <c r="B2575" s="1" t="s">
        <v>4935</v>
      </c>
      <c r="C2575" s="1" t="s">
        <v>4936</v>
      </c>
      <c r="E2575">
        <f t="shared" si="40"/>
        <v>0</v>
      </c>
    </row>
    <row r="2576" spans="1:5">
      <c r="A2576" s="1">
        <f>IF(C2576="","",COUNTA(C$4:C2576))</f>
        <v>2551</v>
      </c>
      <c r="B2576" s="1" t="s">
        <v>4937</v>
      </c>
      <c r="C2576" s="1" t="s">
        <v>4938</v>
      </c>
      <c r="E2576">
        <f t="shared" si="40"/>
        <v>0</v>
      </c>
    </row>
    <row r="2577" spans="1:5">
      <c r="A2577" s="1">
        <f>IF(C2577="","",COUNTA(C$4:C2577))</f>
        <v>2552</v>
      </c>
      <c r="B2577" s="1" t="s">
        <v>4939</v>
      </c>
      <c r="C2577" s="1" t="s">
        <v>4940</v>
      </c>
      <c r="E2577">
        <f t="shared" si="40"/>
        <v>0</v>
      </c>
    </row>
    <row r="2578" spans="1:5">
      <c r="A2578" s="1">
        <f>IF(C2578="","",COUNTA(C$4:C2578))</f>
        <v>2553</v>
      </c>
      <c r="B2578" s="1" t="s">
        <v>4941</v>
      </c>
      <c r="C2578" s="1" t="s">
        <v>4942</v>
      </c>
      <c r="E2578">
        <f t="shared" si="40"/>
        <v>0</v>
      </c>
    </row>
    <row r="2579" spans="1:5">
      <c r="A2579" s="1">
        <f>IF(C2579="","",COUNTA(C$4:C2579))</f>
        <v>2554</v>
      </c>
      <c r="B2579" s="1" t="s">
        <v>4943</v>
      </c>
      <c r="C2579" s="1" t="s">
        <v>4944</v>
      </c>
      <c r="E2579">
        <f t="shared" si="40"/>
        <v>0</v>
      </c>
    </row>
    <row r="2580" spans="1:5">
      <c r="A2580" s="1">
        <f>IF(C2580="","",COUNTA(C$4:C2580))</f>
        <v>2555</v>
      </c>
      <c r="B2580" s="1" t="s">
        <v>4945</v>
      </c>
      <c r="C2580" s="1" t="s">
        <v>4946</v>
      </c>
      <c r="E2580">
        <f t="shared" si="40"/>
        <v>0</v>
      </c>
    </row>
    <row r="2581" spans="1:5">
      <c r="A2581" s="1">
        <f>IF(C2581="","",COUNTA(C$4:C2581))</f>
        <v>2556</v>
      </c>
      <c r="B2581" s="1" t="s">
        <v>4947</v>
      </c>
      <c r="C2581" s="1" t="s">
        <v>4948</v>
      </c>
      <c r="E2581">
        <f t="shared" si="40"/>
        <v>0</v>
      </c>
    </row>
    <row r="2582" spans="1:5">
      <c r="A2582" s="1">
        <f>IF(C2582="","",COUNTA(C$4:C2582))</f>
        <v>2557</v>
      </c>
      <c r="B2582" s="1" t="s">
        <v>4949</v>
      </c>
      <c r="C2582" s="1" t="s">
        <v>4950</v>
      </c>
      <c r="E2582">
        <f t="shared" si="40"/>
        <v>0</v>
      </c>
    </row>
    <row r="2583" spans="1:5">
      <c r="A2583" s="1">
        <f>IF(C2583="","",COUNTA(C$4:C2583))</f>
        <v>2558</v>
      </c>
      <c r="B2583" s="1" t="s">
        <v>4947</v>
      </c>
      <c r="C2583" s="1" t="s">
        <v>4951</v>
      </c>
      <c r="E2583">
        <f t="shared" si="40"/>
        <v>0</v>
      </c>
    </row>
    <row r="2584" spans="1:5">
      <c r="A2584" s="1">
        <f>IF(C2584="","",COUNTA(C$4:C2584))</f>
        <v>2559</v>
      </c>
      <c r="B2584" s="1" t="s">
        <v>4947</v>
      </c>
      <c r="C2584" s="1" t="s">
        <v>4952</v>
      </c>
      <c r="E2584">
        <f t="shared" si="40"/>
        <v>0</v>
      </c>
    </row>
    <row r="2585" spans="1:5">
      <c r="A2585" s="1">
        <f>IF(C2585="","",COUNTA(C$4:C2585))</f>
        <v>2560</v>
      </c>
      <c r="B2585" s="1" t="s">
        <v>4953</v>
      </c>
      <c r="C2585" s="1" t="s">
        <v>4954</v>
      </c>
      <c r="E2585">
        <f t="shared" si="40"/>
        <v>0</v>
      </c>
    </row>
    <row r="2586" spans="1:5">
      <c r="A2586" s="1">
        <f>IF(C2586="","",COUNTA(C$4:C2586))</f>
        <v>2561</v>
      </c>
      <c r="B2586" s="1" t="s">
        <v>4955</v>
      </c>
      <c r="C2586" s="1" t="s">
        <v>4956</v>
      </c>
      <c r="E2586">
        <f t="shared" si="40"/>
        <v>0</v>
      </c>
    </row>
    <row r="2587" spans="1:5">
      <c r="A2587" s="1">
        <f>IF(C2587="","",COUNTA(C$4:C2587))</f>
        <v>2562</v>
      </c>
      <c r="B2587" s="1" t="s">
        <v>4957</v>
      </c>
      <c r="C2587" s="1" t="s">
        <v>4958</v>
      </c>
      <c r="E2587">
        <f t="shared" si="40"/>
        <v>0</v>
      </c>
    </row>
    <row r="2588" spans="1:5">
      <c r="A2588" s="1">
        <f>IF(C2588="","",COUNTA(C$4:C2588))</f>
        <v>2563</v>
      </c>
      <c r="B2588" s="1" t="s">
        <v>4959</v>
      </c>
      <c r="C2588" s="1" t="s">
        <v>4960</v>
      </c>
      <c r="E2588">
        <f t="shared" si="40"/>
        <v>0</v>
      </c>
    </row>
    <row r="2589" spans="1:5">
      <c r="A2589" s="1">
        <f>IF(C2589="","",COUNTA(C$4:C2589))</f>
        <v>2564</v>
      </c>
      <c r="B2589" s="1" t="s">
        <v>4961</v>
      </c>
      <c r="C2589" s="1" t="s">
        <v>4962</v>
      </c>
      <c r="E2589">
        <f t="shared" si="40"/>
        <v>0</v>
      </c>
    </row>
    <row r="2590" spans="1:5">
      <c r="A2590" s="1">
        <f>IF(C2590="","",COUNTA(C$4:C2590))</f>
        <v>2565</v>
      </c>
      <c r="B2590" s="1" t="s">
        <v>4963</v>
      </c>
      <c r="C2590" s="1" t="s">
        <v>4964</v>
      </c>
      <c r="E2590">
        <f t="shared" si="40"/>
        <v>0</v>
      </c>
    </row>
    <row r="2591" spans="1:5">
      <c r="A2591" s="1">
        <f>IF(C2591="","",COUNTA(C$4:C2591))</f>
        <v>2566</v>
      </c>
      <c r="B2591" s="1" t="s">
        <v>4965</v>
      </c>
      <c r="C2591" s="1" t="s">
        <v>4966</v>
      </c>
      <c r="E2591">
        <f t="shared" si="40"/>
        <v>0</v>
      </c>
    </row>
    <row r="2592" spans="1:5">
      <c r="A2592" s="1">
        <f>IF(C2592="","",COUNTA(C$4:C2592))</f>
        <v>2567</v>
      </c>
      <c r="B2592" s="1" t="s">
        <v>4967</v>
      </c>
      <c r="C2592" s="1" t="s">
        <v>4968</v>
      </c>
      <c r="E2592">
        <f t="shared" si="40"/>
        <v>0</v>
      </c>
    </row>
    <row r="2593" spans="1:5">
      <c r="A2593" s="1">
        <f>IF(C2593="","",COUNTA(C$4:C2593))</f>
        <v>2568</v>
      </c>
      <c r="B2593" s="1" t="s">
        <v>4969</v>
      </c>
      <c r="C2593" s="1" t="s">
        <v>4970</v>
      </c>
      <c r="E2593">
        <f t="shared" si="40"/>
        <v>0</v>
      </c>
    </row>
    <row r="2594" spans="1:5">
      <c r="A2594" s="1">
        <f>IF(C2594="","",COUNTA(C$4:C2594))</f>
        <v>2569</v>
      </c>
      <c r="B2594" s="1" t="s">
        <v>4971</v>
      </c>
      <c r="C2594" s="1" t="s">
        <v>4972</v>
      </c>
      <c r="E2594">
        <f t="shared" si="40"/>
        <v>0</v>
      </c>
    </row>
    <row r="2595" spans="1:5">
      <c r="A2595" s="1">
        <f>IF(C2595="","",COUNTA(C$4:C2595))</f>
        <v>2570</v>
      </c>
      <c r="B2595" s="1" t="s">
        <v>4973</v>
      </c>
      <c r="C2595" s="1" t="s">
        <v>4974</v>
      </c>
      <c r="E2595">
        <f t="shared" si="40"/>
        <v>0</v>
      </c>
    </row>
    <row r="2596" spans="1:5">
      <c r="A2596" s="1">
        <f>IF(C2596="","",COUNTA(C$4:C2596))</f>
        <v>2571</v>
      </c>
      <c r="B2596" s="1" t="s">
        <v>4975</v>
      </c>
      <c r="C2596" s="1" t="s">
        <v>4976</v>
      </c>
      <c r="E2596">
        <f t="shared" si="40"/>
        <v>0</v>
      </c>
    </row>
    <row r="2597" spans="1:5">
      <c r="A2597" s="1">
        <f>IF(C2597="","",COUNTA(C$4:C2597))</f>
        <v>2572</v>
      </c>
      <c r="B2597" s="1" t="s">
        <v>4977</v>
      </c>
      <c r="C2597" s="1" t="s">
        <v>4978</v>
      </c>
      <c r="E2597">
        <f t="shared" si="40"/>
        <v>0</v>
      </c>
    </row>
    <row r="2598" spans="1:5">
      <c r="A2598" s="1">
        <f>IF(C2598="","",COUNTA(C$4:C2598))</f>
        <v>2573</v>
      </c>
      <c r="B2598" s="1" t="s">
        <v>4979</v>
      </c>
      <c r="C2598" s="1" t="s">
        <v>4980</v>
      </c>
      <c r="E2598">
        <f t="shared" si="40"/>
        <v>0</v>
      </c>
    </row>
    <row r="2599" spans="1:5">
      <c r="A2599" s="1">
        <f>IF(C2599="","",COUNTA(C$4:C2599))</f>
        <v>2574</v>
      </c>
      <c r="B2599" s="1" t="s">
        <v>4981</v>
      </c>
      <c r="C2599" s="1" t="s">
        <v>4982</v>
      </c>
      <c r="E2599">
        <f t="shared" si="40"/>
        <v>0</v>
      </c>
    </row>
    <row r="2600" spans="1:5">
      <c r="A2600" s="1">
        <f>IF(C2600="","",COUNTA(C$4:C2600))</f>
        <v>2575</v>
      </c>
      <c r="B2600" s="1" t="s">
        <v>4983</v>
      </c>
      <c r="C2600" s="1" t="s">
        <v>4984</v>
      </c>
      <c r="E2600">
        <f t="shared" si="40"/>
        <v>0</v>
      </c>
    </row>
    <row r="2601" spans="1:5">
      <c r="A2601" s="1">
        <f>IF(C2601="","",COUNTA(C$4:C2601))</f>
        <v>2576</v>
      </c>
      <c r="B2601" s="1" t="s">
        <v>4985</v>
      </c>
      <c r="C2601" s="1" t="s">
        <v>4986</v>
      </c>
      <c r="E2601">
        <f t="shared" si="40"/>
        <v>0</v>
      </c>
    </row>
    <row r="2602" spans="1:5">
      <c r="A2602" s="1">
        <f>IF(C2602="","",COUNTA(C$4:C2602))</f>
        <v>2577</v>
      </c>
      <c r="B2602" s="1" t="s">
        <v>4987</v>
      </c>
      <c r="C2602" s="1" t="s">
        <v>4988</v>
      </c>
      <c r="E2602">
        <f t="shared" si="40"/>
        <v>0</v>
      </c>
    </row>
    <row r="2603" spans="1:5">
      <c r="A2603" s="1">
        <f>IF(C2603="","",COUNTA(C$4:C2603))</f>
        <v>2578</v>
      </c>
      <c r="B2603" s="1" t="s">
        <v>4989</v>
      </c>
      <c r="C2603" s="1" t="s">
        <v>4990</v>
      </c>
      <c r="E2603">
        <f t="shared" si="40"/>
        <v>0</v>
      </c>
    </row>
    <row r="2604" spans="1:5">
      <c r="A2604" s="1">
        <f>IF(C2604="","",COUNTA(C$4:C2604))</f>
        <v>2579</v>
      </c>
      <c r="B2604" s="1" t="s">
        <v>4991</v>
      </c>
      <c r="C2604" s="1" t="s">
        <v>4992</v>
      </c>
      <c r="E2604">
        <f t="shared" si="40"/>
        <v>0</v>
      </c>
    </row>
    <row r="2605" spans="1:5">
      <c r="A2605" s="1">
        <f>IF(C2605="","",COUNTA(C$4:C2605))</f>
        <v>2580</v>
      </c>
      <c r="B2605" s="1" t="s">
        <v>4993</v>
      </c>
      <c r="C2605" s="1" t="s">
        <v>4994</v>
      </c>
      <c r="E2605">
        <f t="shared" si="40"/>
        <v>0</v>
      </c>
    </row>
    <row r="2606" spans="1:5">
      <c r="A2606" s="1">
        <f>IF(C2606="","",COUNTA(C$4:C2606))</f>
        <v>2581</v>
      </c>
      <c r="B2606" s="1" t="s">
        <v>4995</v>
      </c>
      <c r="C2606" s="1" t="s">
        <v>4996</v>
      </c>
      <c r="E2606">
        <f t="shared" si="40"/>
        <v>0</v>
      </c>
    </row>
    <row r="2607" spans="1:5">
      <c r="A2607" s="1">
        <f>IF(C2607="","",COUNTA(C$4:C2607))</f>
        <v>2582</v>
      </c>
      <c r="B2607" s="1" t="s">
        <v>4997</v>
      </c>
      <c r="C2607" s="1" t="s">
        <v>4998</v>
      </c>
      <c r="E2607">
        <f t="shared" si="40"/>
        <v>0</v>
      </c>
    </row>
    <row r="2608" spans="1:5">
      <c r="A2608" s="1">
        <f>IF(C2608="","",COUNTA(C$4:C2608))</f>
        <v>2583</v>
      </c>
      <c r="B2608" s="1" t="s">
        <v>4999</v>
      </c>
      <c r="C2608" s="1" t="s">
        <v>5000</v>
      </c>
      <c r="E2608">
        <f t="shared" si="40"/>
        <v>0</v>
      </c>
    </row>
    <row r="2609" spans="1:5">
      <c r="A2609" s="1">
        <f>IF(C2609="","",COUNTA(C$4:C2609))</f>
        <v>2584</v>
      </c>
      <c r="B2609" s="1" t="s">
        <v>5001</v>
      </c>
      <c r="C2609" s="1" t="s">
        <v>5002</v>
      </c>
      <c r="E2609">
        <f t="shared" si="40"/>
        <v>0</v>
      </c>
    </row>
    <row r="2610" spans="1:5">
      <c r="A2610" s="1">
        <f>IF(C2610="","",COUNTA(C$4:C2610))</f>
        <v>2585</v>
      </c>
      <c r="B2610" s="1" t="s">
        <v>5003</v>
      </c>
      <c r="C2610" s="1" t="s">
        <v>5004</v>
      </c>
      <c r="E2610">
        <f t="shared" si="40"/>
        <v>0</v>
      </c>
    </row>
    <row r="2611" spans="1:5">
      <c r="A2611" s="1">
        <f>IF(C2611="","",COUNTA(C$4:C2611))</f>
        <v>2586</v>
      </c>
      <c r="B2611" s="1" t="s">
        <v>5005</v>
      </c>
      <c r="C2611" s="1" t="s">
        <v>5006</v>
      </c>
      <c r="E2611">
        <f t="shared" si="40"/>
        <v>0</v>
      </c>
    </row>
    <row r="2612" spans="1:5">
      <c r="A2612" s="1">
        <f>IF(C2612="","",COUNTA(C$4:C2612))</f>
        <v>2587</v>
      </c>
      <c r="B2612" s="1" t="s">
        <v>5007</v>
      </c>
      <c r="C2612" s="1" t="s">
        <v>5008</v>
      </c>
      <c r="E2612">
        <f t="shared" si="40"/>
        <v>0</v>
      </c>
    </row>
    <row r="2613" spans="1:5">
      <c r="A2613" s="1">
        <f>IF(C2613="","",COUNTA(C$4:C2613))</f>
        <v>2588</v>
      </c>
      <c r="B2613" s="1" t="s">
        <v>5009</v>
      </c>
      <c r="C2613" s="1" t="s">
        <v>5010</v>
      </c>
      <c r="E2613">
        <f t="shared" si="40"/>
        <v>0</v>
      </c>
    </row>
    <row r="2614" spans="1:5">
      <c r="A2614" s="1">
        <f>IF(C2614="","",COUNTA(C$4:C2614))</f>
        <v>2589</v>
      </c>
      <c r="B2614" s="1" t="s">
        <v>5011</v>
      </c>
      <c r="C2614" s="1" t="s">
        <v>5012</v>
      </c>
      <c r="E2614">
        <f t="shared" si="40"/>
        <v>0</v>
      </c>
    </row>
    <row r="2615" spans="1:5">
      <c r="A2615" s="1">
        <f>IF(C2615="","",COUNTA(C$4:C2615))</f>
        <v>2590</v>
      </c>
      <c r="B2615" s="1" t="s">
        <v>5013</v>
      </c>
      <c r="C2615" s="1" t="s">
        <v>5014</v>
      </c>
      <c r="E2615">
        <f t="shared" si="40"/>
        <v>0</v>
      </c>
    </row>
    <row r="2616" spans="1:5">
      <c r="A2616" s="1">
        <f>IF(C2616="","",COUNTA(C$4:C2616))</f>
        <v>2591</v>
      </c>
      <c r="B2616" s="1" t="s">
        <v>5015</v>
      </c>
      <c r="C2616" s="1" t="s">
        <v>5016</v>
      </c>
      <c r="E2616">
        <f t="shared" si="40"/>
        <v>0</v>
      </c>
    </row>
    <row r="2617" spans="1:5">
      <c r="A2617" s="1">
        <f>IF(C2617="","",COUNTA(C$4:C2617))</f>
        <v>2592</v>
      </c>
      <c r="B2617" s="1" t="s">
        <v>3813</v>
      </c>
      <c r="C2617" s="1" t="s">
        <v>5017</v>
      </c>
      <c r="E2617">
        <f t="shared" si="40"/>
        <v>0</v>
      </c>
    </row>
    <row r="2618" spans="1:5">
      <c r="A2618" s="1">
        <f>IF(C2618="","",COUNTA(C$4:C2618))</f>
        <v>2593</v>
      </c>
      <c r="B2618" s="1" t="s">
        <v>5018</v>
      </c>
      <c r="C2618" s="1" t="s">
        <v>5019</v>
      </c>
      <c r="E2618">
        <f t="shared" si="40"/>
        <v>0</v>
      </c>
    </row>
    <row r="2619" spans="1:5">
      <c r="A2619" s="1">
        <f>IF(C2619="","",COUNTA(C$4:C2619))</f>
        <v>2594</v>
      </c>
      <c r="B2619" s="1" t="s">
        <v>4714</v>
      </c>
      <c r="C2619" s="1" t="s">
        <v>5020</v>
      </c>
      <c r="E2619">
        <f t="shared" si="40"/>
        <v>0</v>
      </c>
    </row>
    <row r="2620" spans="1:5">
      <c r="A2620" s="1">
        <f>IF(C2620="","",COUNTA(C$4:C2620))</f>
        <v>2595</v>
      </c>
      <c r="B2620" s="1" t="s">
        <v>3503</v>
      </c>
      <c r="C2620" s="1" t="s">
        <v>5021</v>
      </c>
      <c r="E2620">
        <f t="shared" si="40"/>
        <v>0</v>
      </c>
    </row>
    <row r="2621" spans="1:5">
      <c r="A2621" s="1">
        <f>IF(C2621="","",COUNTA(C$4:C2621))</f>
        <v>2596</v>
      </c>
      <c r="B2621" s="1" t="s">
        <v>5022</v>
      </c>
      <c r="C2621" s="1" t="s">
        <v>5023</v>
      </c>
      <c r="E2621">
        <f t="shared" si="40"/>
        <v>0</v>
      </c>
    </row>
    <row r="2622" spans="1:5">
      <c r="A2622" s="1">
        <f>IF(C2622="","",COUNTA(C$4:C2622))</f>
        <v>2597</v>
      </c>
      <c r="B2622" s="1" t="s">
        <v>5024</v>
      </c>
      <c r="C2622" s="1" t="s">
        <v>5025</v>
      </c>
      <c r="E2622">
        <f t="shared" si="40"/>
        <v>0</v>
      </c>
    </row>
    <row r="2623" spans="1:5">
      <c r="A2623" s="1">
        <f>IF(C2623="","",COUNTA(C$4:C2623))</f>
        <v>2598</v>
      </c>
      <c r="B2623" s="1" t="s">
        <v>5026</v>
      </c>
      <c r="C2623" s="1" t="s">
        <v>5027</v>
      </c>
      <c r="E2623">
        <f t="shared" si="40"/>
        <v>0</v>
      </c>
    </row>
    <row r="2624" spans="1:5">
      <c r="A2624" s="1">
        <f>IF(C2624="","",COUNTA(C$4:C2624))</f>
        <v>2599</v>
      </c>
      <c r="B2624" s="1" t="s">
        <v>5028</v>
      </c>
      <c r="C2624" s="1" t="s">
        <v>5029</v>
      </c>
      <c r="E2624">
        <f t="shared" si="40"/>
        <v>0</v>
      </c>
    </row>
    <row r="2625" spans="1:5">
      <c r="A2625" s="1">
        <f>IF(C2625="","",COUNTA(C$4:C2625))</f>
        <v>2600</v>
      </c>
      <c r="B2625" s="1" t="s">
        <v>5030</v>
      </c>
      <c r="C2625" s="1" t="s">
        <v>5031</v>
      </c>
      <c r="E2625">
        <f t="shared" si="40"/>
        <v>0</v>
      </c>
    </row>
    <row r="2626" spans="1:5">
      <c r="A2626" s="1">
        <f>IF(C2626="","",COUNTA(C$4:C2626))</f>
        <v>2601</v>
      </c>
      <c r="B2626" s="1" t="s">
        <v>5032</v>
      </c>
      <c r="C2626" s="1" t="s">
        <v>5033</v>
      </c>
      <c r="E2626">
        <f t="shared" si="40"/>
        <v>0</v>
      </c>
    </row>
    <row r="2627" spans="1:5">
      <c r="A2627" s="1">
        <f>IF(C2627="","",COUNTA(C$4:C2627))</f>
        <v>2602</v>
      </c>
      <c r="B2627" s="1" t="s">
        <v>5034</v>
      </c>
      <c r="C2627" s="1" t="s">
        <v>5035</v>
      </c>
      <c r="E2627">
        <f t="shared" si="40"/>
        <v>0</v>
      </c>
    </row>
    <row r="2628" spans="1:5">
      <c r="A2628" s="1">
        <f>IF(C2628="","",COUNTA(C$4:C2628))</f>
        <v>2603</v>
      </c>
      <c r="B2628" s="1" t="s">
        <v>5036</v>
      </c>
      <c r="C2628" s="1" t="s">
        <v>5037</v>
      </c>
      <c r="E2628">
        <f t="shared" si="40"/>
        <v>0</v>
      </c>
    </row>
    <row r="2629" spans="1:5">
      <c r="A2629" s="1">
        <f>IF(C2629="","",COUNTA(C$4:C2629))</f>
        <v>2604</v>
      </c>
      <c r="B2629" s="1" t="s">
        <v>5038</v>
      </c>
      <c r="C2629" s="1" t="s">
        <v>5039</v>
      </c>
      <c r="E2629">
        <f t="shared" ref="E2629:E2692" si="41">IF(C2629=D2629,1,0)</f>
        <v>0</v>
      </c>
    </row>
    <row r="2630" spans="1:5">
      <c r="A2630" s="1">
        <f>IF(C2630="","",COUNTA(C$4:C2630))</f>
        <v>2605</v>
      </c>
      <c r="B2630" s="1" t="s">
        <v>5040</v>
      </c>
      <c r="C2630" s="1" t="s">
        <v>5041</v>
      </c>
      <c r="E2630">
        <f t="shared" si="41"/>
        <v>0</v>
      </c>
    </row>
    <row r="2631" spans="1:5">
      <c r="A2631" s="1">
        <f>IF(C2631="","",COUNTA(C$4:C2631))</f>
        <v>2606</v>
      </c>
      <c r="B2631" s="1" t="s">
        <v>5042</v>
      </c>
      <c r="C2631" s="1" t="s">
        <v>5043</v>
      </c>
      <c r="E2631">
        <f t="shared" si="41"/>
        <v>0</v>
      </c>
    </row>
    <row r="2632" spans="1:5">
      <c r="A2632" s="1">
        <f>IF(C2632="","",COUNTA(C$4:C2632))</f>
        <v>2607</v>
      </c>
      <c r="B2632" s="1" t="s">
        <v>5044</v>
      </c>
      <c r="C2632" s="1" t="s">
        <v>5045</v>
      </c>
      <c r="E2632">
        <f t="shared" si="41"/>
        <v>0</v>
      </c>
    </row>
    <row r="2633" spans="1:5">
      <c r="A2633" s="1">
        <f>IF(C2633="","",COUNTA(C$4:C2633))</f>
        <v>2608</v>
      </c>
      <c r="B2633" s="1" t="s">
        <v>5046</v>
      </c>
      <c r="C2633" s="1" t="s">
        <v>5047</v>
      </c>
      <c r="E2633">
        <f t="shared" si="41"/>
        <v>0</v>
      </c>
    </row>
    <row r="2634" spans="1:5">
      <c r="A2634" s="1">
        <f>IF(C2634="","",COUNTA(C$4:C2634))</f>
        <v>2609</v>
      </c>
      <c r="B2634" s="1" t="s">
        <v>5048</v>
      </c>
      <c r="C2634" s="1" t="s">
        <v>5049</v>
      </c>
      <c r="E2634">
        <f t="shared" si="41"/>
        <v>0</v>
      </c>
    </row>
    <row r="2635" spans="1:5">
      <c r="A2635" s="1">
        <f>IF(C2635="","",COUNTA(C$4:C2635))</f>
        <v>2610</v>
      </c>
      <c r="B2635" s="1" t="s">
        <v>5050</v>
      </c>
      <c r="C2635" s="1" t="s">
        <v>5051</v>
      </c>
      <c r="E2635">
        <f t="shared" si="41"/>
        <v>0</v>
      </c>
    </row>
    <row r="2636" spans="1:5">
      <c r="A2636" s="1">
        <f>IF(C2636="","",COUNTA(C$4:C2636))</f>
        <v>2611</v>
      </c>
      <c r="B2636" s="1" t="s">
        <v>5052</v>
      </c>
      <c r="C2636" s="1" t="s">
        <v>5053</v>
      </c>
      <c r="E2636">
        <f t="shared" si="41"/>
        <v>0</v>
      </c>
    </row>
    <row r="2637" spans="1:5">
      <c r="A2637" s="1">
        <f>IF(C2637="","",COUNTA(C$4:C2637))</f>
        <v>2612</v>
      </c>
      <c r="B2637" s="1" t="s">
        <v>5054</v>
      </c>
      <c r="C2637" s="1" t="s">
        <v>5055</v>
      </c>
      <c r="E2637">
        <f t="shared" si="41"/>
        <v>0</v>
      </c>
    </row>
    <row r="2638" spans="1:5">
      <c r="A2638" s="1">
        <f>IF(C2638="","",COUNTA(C$4:C2638))</f>
        <v>2613</v>
      </c>
      <c r="B2638" s="1" t="s">
        <v>5056</v>
      </c>
      <c r="C2638" s="1" t="s">
        <v>5057</v>
      </c>
      <c r="E2638">
        <f t="shared" si="41"/>
        <v>0</v>
      </c>
    </row>
    <row r="2639" spans="1:5">
      <c r="A2639" s="1">
        <f>IF(C2639="","",COUNTA(C$4:C2639))</f>
        <v>2614</v>
      </c>
      <c r="B2639" s="1" t="s">
        <v>5058</v>
      </c>
      <c r="C2639" s="1" t="s">
        <v>5059</v>
      </c>
      <c r="E2639">
        <f t="shared" si="41"/>
        <v>0</v>
      </c>
    </row>
    <row r="2640" spans="1:5">
      <c r="A2640" s="1">
        <f>IF(C2640="","",COUNTA(C$4:C2640))</f>
        <v>2615</v>
      </c>
      <c r="B2640" s="1" t="s">
        <v>5060</v>
      </c>
      <c r="C2640" s="1" t="s">
        <v>5061</v>
      </c>
      <c r="E2640">
        <f t="shared" si="41"/>
        <v>0</v>
      </c>
    </row>
    <row r="2641" spans="1:5">
      <c r="A2641" s="1">
        <f>IF(C2641="","",COUNTA(C$4:C2641))</f>
        <v>2616</v>
      </c>
      <c r="B2641" s="1" t="s">
        <v>5062</v>
      </c>
      <c r="C2641" s="1" t="s">
        <v>2750</v>
      </c>
      <c r="E2641">
        <f t="shared" si="41"/>
        <v>0</v>
      </c>
    </row>
    <row r="2642" spans="1:5">
      <c r="A2642" s="1">
        <f>IF(C2642="","",COUNTA(C$4:C2642))</f>
        <v>2617</v>
      </c>
      <c r="B2642" s="1" t="s">
        <v>5063</v>
      </c>
      <c r="C2642" s="1" t="s">
        <v>2752</v>
      </c>
      <c r="E2642">
        <f t="shared" si="41"/>
        <v>0</v>
      </c>
    </row>
    <row r="2643" spans="1:5">
      <c r="A2643" s="1">
        <f>IF(C2643="","",COUNTA(C$4:C2643))</f>
        <v>2618</v>
      </c>
      <c r="B2643" s="1" t="s">
        <v>5064</v>
      </c>
      <c r="C2643" s="1" t="s">
        <v>5065</v>
      </c>
      <c r="E2643">
        <f t="shared" si="41"/>
        <v>0</v>
      </c>
    </row>
    <row r="2644" spans="1:5">
      <c r="A2644" s="1">
        <f>IF(C2644="","",COUNTA(C$4:C2644))</f>
        <v>2619</v>
      </c>
      <c r="B2644" s="1" t="s">
        <v>5066</v>
      </c>
      <c r="C2644" s="1" t="s">
        <v>5067</v>
      </c>
      <c r="E2644">
        <f t="shared" si="41"/>
        <v>0</v>
      </c>
    </row>
    <row r="2645" spans="1:5">
      <c r="A2645" s="1">
        <f>IF(C2645="","",COUNTA(C$4:C2645))</f>
        <v>2620</v>
      </c>
      <c r="B2645" s="1" t="s">
        <v>5068</v>
      </c>
      <c r="C2645" s="1" t="s">
        <v>5069</v>
      </c>
      <c r="E2645">
        <f t="shared" si="41"/>
        <v>0</v>
      </c>
    </row>
    <row r="2646" spans="1:5">
      <c r="A2646" s="1">
        <f>IF(C2646="","",COUNTA(C$4:C2646))</f>
        <v>2621</v>
      </c>
      <c r="B2646" s="1" t="s">
        <v>3846</v>
      </c>
      <c r="C2646" s="1" t="s">
        <v>5070</v>
      </c>
      <c r="E2646">
        <f t="shared" si="41"/>
        <v>0</v>
      </c>
    </row>
    <row r="2647" spans="1:5">
      <c r="A2647" s="1">
        <f>IF(C2647="","",COUNTA(C$4:C2647))</f>
        <v>2622</v>
      </c>
      <c r="B2647" s="1" t="s">
        <v>5071</v>
      </c>
      <c r="C2647" s="1" t="s">
        <v>5072</v>
      </c>
      <c r="E2647">
        <f t="shared" si="41"/>
        <v>0</v>
      </c>
    </row>
    <row r="2648" spans="1:5">
      <c r="A2648" s="1">
        <f>IF(C2648="","",COUNTA(C$4:C2648))</f>
        <v>2623</v>
      </c>
      <c r="B2648" s="1" t="s">
        <v>5073</v>
      </c>
      <c r="C2648" s="1" t="s">
        <v>5074</v>
      </c>
      <c r="E2648">
        <f t="shared" si="41"/>
        <v>0</v>
      </c>
    </row>
    <row r="2649" spans="1:5">
      <c r="A2649" s="1">
        <f>IF(C2649="","",COUNTA(C$4:C2649))</f>
        <v>2624</v>
      </c>
      <c r="B2649" s="1" t="s">
        <v>5075</v>
      </c>
      <c r="C2649" s="1" t="s">
        <v>5076</v>
      </c>
      <c r="E2649">
        <f t="shared" si="41"/>
        <v>0</v>
      </c>
    </row>
    <row r="2650" spans="1:5">
      <c r="A2650" s="1">
        <f>IF(C2650="","",COUNTA(C$4:C2650))</f>
        <v>2625</v>
      </c>
      <c r="B2650" s="1" t="s">
        <v>5077</v>
      </c>
      <c r="C2650" s="1" t="s">
        <v>5078</v>
      </c>
      <c r="E2650">
        <f t="shared" si="41"/>
        <v>0</v>
      </c>
    </row>
    <row r="2651" spans="1:5">
      <c r="A2651" s="1">
        <f>IF(C2651="","",COUNTA(C$4:C2651))</f>
        <v>2626</v>
      </c>
      <c r="B2651" s="1" t="s">
        <v>5079</v>
      </c>
      <c r="C2651" s="1" t="s">
        <v>5080</v>
      </c>
      <c r="E2651">
        <f t="shared" si="41"/>
        <v>0</v>
      </c>
    </row>
    <row r="2652" spans="1:5">
      <c r="A2652" s="1">
        <f>IF(C2652="","",COUNTA(C$4:C2652))</f>
        <v>2627</v>
      </c>
      <c r="B2652" s="1" t="s">
        <v>5081</v>
      </c>
      <c r="C2652" s="1" t="s">
        <v>5082</v>
      </c>
      <c r="E2652">
        <f t="shared" si="41"/>
        <v>0</v>
      </c>
    </row>
    <row r="2653" spans="1:5">
      <c r="A2653" s="1">
        <f>IF(C2653="","",COUNTA(C$4:C2653))</f>
        <v>2628</v>
      </c>
      <c r="B2653" s="1" t="s">
        <v>5083</v>
      </c>
      <c r="C2653" s="1" t="s">
        <v>5084</v>
      </c>
      <c r="E2653">
        <f t="shared" si="41"/>
        <v>0</v>
      </c>
    </row>
    <row r="2654" spans="1:5">
      <c r="A2654" s="1">
        <f>IF(C2654="","",COUNTA(C$4:C2654))</f>
        <v>2629</v>
      </c>
      <c r="B2654" s="1" t="s">
        <v>5085</v>
      </c>
      <c r="C2654" s="1" t="s">
        <v>5086</v>
      </c>
      <c r="E2654">
        <f t="shared" si="41"/>
        <v>0</v>
      </c>
    </row>
    <row r="2655" spans="1:5">
      <c r="A2655" s="1">
        <f>IF(C2655="","",COUNTA(C$4:C2655))</f>
        <v>2630</v>
      </c>
      <c r="B2655" s="1" t="s">
        <v>5087</v>
      </c>
      <c r="C2655" s="1" t="s">
        <v>5088</v>
      </c>
      <c r="E2655">
        <f t="shared" si="41"/>
        <v>0</v>
      </c>
    </row>
    <row r="2656" spans="1:5">
      <c r="A2656" s="1">
        <f>IF(C2656="","",COUNTA(C$4:C2656))</f>
        <v>2631</v>
      </c>
      <c r="B2656" s="1" t="s">
        <v>5089</v>
      </c>
      <c r="C2656" s="1" t="s">
        <v>5090</v>
      </c>
      <c r="E2656">
        <f t="shared" si="41"/>
        <v>0</v>
      </c>
    </row>
    <row r="2657" spans="1:5">
      <c r="A2657" s="1">
        <f>IF(C2657="","",COUNTA(C$4:C2657))</f>
        <v>2632</v>
      </c>
      <c r="B2657" s="1" t="s">
        <v>5091</v>
      </c>
      <c r="C2657" s="1" t="s">
        <v>5092</v>
      </c>
      <c r="E2657">
        <f t="shared" si="41"/>
        <v>0</v>
      </c>
    </row>
    <row r="2658" spans="1:5">
      <c r="A2658" s="1">
        <f>IF(C2658="","",COUNTA(C$4:C2658))</f>
        <v>2633</v>
      </c>
      <c r="B2658" s="1" t="s">
        <v>5093</v>
      </c>
      <c r="C2658" s="1" t="s">
        <v>5094</v>
      </c>
      <c r="E2658">
        <f t="shared" si="41"/>
        <v>0</v>
      </c>
    </row>
    <row r="2659" spans="1:5">
      <c r="A2659" s="1">
        <f>IF(C2659="","",COUNTA(C$4:C2659))</f>
        <v>2634</v>
      </c>
      <c r="B2659" s="1" t="s">
        <v>5095</v>
      </c>
      <c r="C2659" s="1" t="s">
        <v>5096</v>
      </c>
      <c r="E2659">
        <f t="shared" si="41"/>
        <v>0</v>
      </c>
    </row>
    <row r="2660" spans="1:5">
      <c r="A2660" s="1">
        <f>IF(C2660="","",COUNTA(C$4:C2660))</f>
        <v>2635</v>
      </c>
      <c r="B2660" s="1" t="s">
        <v>5097</v>
      </c>
      <c r="C2660" s="1" t="s">
        <v>5098</v>
      </c>
      <c r="E2660">
        <f t="shared" si="41"/>
        <v>0</v>
      </c>
    </row>
    <row r="2661" spans="1:5">
      <c r="A2661" s="1">
        <f>IF(C2661="","",COUNTA(C$4:C2661))</f>
        <v>2636</v>
      </c>
      <c r="B2661" s="1" t="s">
        <v>5099</v>
      </c>
      <c r="C2661" s="1" t="s">
        <v>5100</v>
      </c>
      <c r="E2661">
        <f t="shared" si="41"/>
        <v>0</v>
      </c>
    </row>
    <row r="2662" spans="1:5">
      <c r="A2662" s="1">
        <f>IF(C2662="","",COUNTA(C$4:C2662))</f>
        <v>2637</v>
      </c>
      <c r="B2662" s="1" t="s">
        <v>5101</v>
      </c>
      <c r="C2662" s="1" t="s">
        <v>5102</v>
      </c>
      <c r="E2662">
        <f t="shared" si="41"/>
        <v>0</v>
      </c>
    </row>
    <row r="2663" spans="1:5">
      <c r="A2663" s="1">
        <f>IF(C2663="","",COUNTA(C$4:C2663))</f>
        <v>2638</v>
      </c>
      <c r="B2663" s="1" t="s">
        <v>5103</v>
      </c>
      <c r="C2663" s="1" t="s">
        <v>5104</v>
      </c>
      <c r="E2663">
        <f t="shared" si="41"/>
        <v>0</v>
      </c>
    </row>
    <row r="2664" spans="1:5">
      <c r="A2664" s="1">
        <f>IF(C2664="","",COUNTA(C$4:C2664))</f>
        <v>2639</v>
      </c>
      <c r="B2664" s="1" t="s">
        <v>5105</v>
      </c>
      <c r="C2664" s="1" t="s">
        <v>5106</v>
      </c>
      <c r="E2664">
        <f t="shared" si="41"/>
        <v>0</v>
      </c>
    </row>
    <row r="2665" spans="1:5">
      <c r="A2665" s="1">
        <f>IF(C2665="","",COUNTA(C$4:C2665))</f>
        <v>2640</v>
      </c>
      <c r="B2665" s="1" t="s">
        <v>5107</v>
      </c>
      <c r="C2665" s="1" t="s">
        <v>5108</v>
      </c>
      <c r="E2665">
        <f t="shared" si="41"/>
        <v>0</v>
      </c>
    </row>
    <row r="2666" spans="1:5">
      <c r="A2666" s="1">
        <f>IF(C2666="","",COUNTA(C$4:C2666))</f>
        <v>2641</v>
      </c>
      <c r="B2666" s="1" t="s">
        <v>5107</v>
      </c>
      <c r="C2666" s="1" t="s">
        <v>5109</v>
      </c>
      <c r="E2666">
        <f t="shared" si="41"/>
        <v>0</v>
      </c>
    </row>
    <row r="2667" spans="1:5">
      <c r="A2667" s="1">
        <f>IF(C2667="","",COUNTA(C$4:C2667))</f>
        <v>2642</v>
      </c>
      <c r="B2667" s="1" t="s">
        <v>5110</v>
      </c>
      <c r="C2667" s="1" t="s">
        <v>5111</v>
      </c>
      <c r="E2667">
        <f t="shared" si="41"/>
        <v>0</v>
      </c>
    </row>
    <row r="2668" spans="1:5">
      <c r="A2668" s="1">
        <f>IF(C2668="","",COUNTA(C$4:C2668))</f>
        <v>2643</v>
      </c>
      <c r="B2668" s="1" t="s">
        <v>5112</v>
      </c>
      <c r="C2668" s="1" t="s">
        <v>5113</v>
      </c>
      <c r="E2668">
        <f t="shared" si="41"/>
        <v>0</v>
      </c>
    </row>
    <row r="2669" spans="1:5">
      <c r="A2669" s="1">
        <f>IF(C2669="","",COUNTA(C$4:C2669))</f>
        <v>2644</v>
      </c>
      <c r="B2669" s="1" t="s">
        <v>5114</v>
      </c>
      <c r="C2669" s="1" t="s">
        <v>5115</v>
      </c>
      <c r="E2669">
        <f t="shared" si="41"/>
        <v>0</v>
      </c>
    </row>
    <row r="2670" spans="1:5">
      <c r="A2670" s="1">
        <f>IF(C2670="","",COUNTA(C$4:C2670))</f>
        <v>2645</v>
      </c>
      <c r="B2670" s="1" t="s">
        <v>5116</v>
      </c>
      <c r="C2670" s="1" t="s">
        <v>5117</v>
      </c>
      <c r="E2670">
        <f t="shared" si="41"/>
        <v>0</v>
      </c>
    </row>
    <row r="2671" spans="1:5">
      <c r="A2671" s="1">
        <f>IF(C2671="","",COUNTA(C$4:C2671))</f>
        <v>2646</v>
      </c>
      <c r="B2671" s="1" t="s">
        <v>5118</v>
      </c>
      <c r="C2671" s="1" t="s">
        <v>5119</v>
      </c>
      <c r="E2671">
        <f t="shared" si="41"/>
        <v>0</v>
      </c>
    </row>
    <row r="2672" spans="1:5">
      <c r="A2672" s="1">
        <f>IF(C2672="","",COUNTA(C$4:C2672))</f>
        <v>2647</v>
      </c>
      <c r="B2672" s="1" t="s">
        <v>5120</v>
      </c>
      <c r="C2672" s="1" t="s">
        <v>5121</v>
      </c>
      <c r="E2672">
        <f t="shared" si="41"/>
        <v>0</v>
      </c>
    </row>
    <row r="2673" spans="1:5">
      <c r="A2673" s="1">
        <f>IF(C2673="","",COUNTA(C$4:C2673))</f>
        <v>2648</v>
      </c>
      <c r="B2673" s="1" t="s">
        <v>5122</v>
      </c>
      <c r="C2673" s="1" t="s">
        <v>5123</v>
      </c>
      <c r="E2673">
        <f t="shared" si="41"/>
        <v>0</v>
      </c>
    </row>
    <row r="2674" spans="1:5">
      <c r="A2674" s="1">
        <f>IF(C2674="","",COUNTA(C$4:C2674))</f>
        <v>2649</v>
      </c>
      <c r="B2674" s="1" t="s">
        <v>5124</v>
      </c>
      <c r="C2674" s="1" t="s">
        <v>5125</v>
      </c>
      <c r="E2674">
        <f t="shared" si="41"/>
        <v>0</v>
      </c>
    </row>
    <row r="2675" spans="1:5">
      <c r="A2675" s="1">
        <f>IF(C2675="","",COUNTA(C$4:C2675))</f>
        <v>2650</v>
      </c>
      <c r="B2675" s="1" t="s">
        <v>5126</v>
      </c>
      <c r="C2675" s="1" t="s">
        <v>5127</v>
      </c>
      <c r="E2675">
        <f t="shared" si="41"/>
        <v>0</v>
      </c>
    </row>
    <row r="2676" spans="1:5">
      <c r="A2676" s="1">
        <f>IF(C2676="","",COUNTA(C$4:C2676))</f>
        <v>2651</v>
      </c>
      <c r="B2676" s="1" t="s">
        <v>5128</v>
      </c>
      <c r="C2676" s="1" t="s">
        <v>5129</v>
      </c>
      <c r="E2676">
        <f t="shared" si="41"/>
        <v>0</v>
      </c>
    </row>
    <row r="2677" spans="1:5">
      <c r="A2677" s="1">
        <f>IF(C2677="","",COUNTA(C$4:C2677))</f>
        <v>2652</v>
      </c>
      <c r="B2677" s="1" t="s">
        <v>5130</v>
      </c>
      <c r="C2677" s="1" t="s">
        <v>5131</v>
      </c>
      <c r="E2677">
        <f t="shared" si="41"/>
        <v>0</v>
      </c>
    </row>
    <row r="2678" spans="1:5">
      <c r="A2678" s="1">
        <f>IF(C2678="","",COUNTA(C$4:C2678))</f>
        <v>2653</v>
      </c>
      <c r="B2678" s="1" t="s">
        <v>5132</v>
      </c>
      <c r="C2678" s="1" t="s">
        <v>5133</v>
      </c>
      <c r="E2678">
        <f t="shared" si="41"/>
        <v>0</v>
      </c>
    </row>
    <row r="2679" spans="1:5">
      <c r="A2679" s="1">
        <f>IF(C2679="","",COUNTA(C$4:C2679))</f>
        <v>2654</v>
      </c>
      <c r="B2679" s="1" t="s">
        <v>5134</v>
      </c>
      <c r="C2679" s="1" t="s">
        <v>5135</v>
      </c>
      <c r="E2679">
        <f t="shared" si="41"/>
        <v>0</v>
      </c>
    </row>
    <row r="2680" spans="1:5">
      <c r="A2680" s="1">
        <f>IF(C2680="","",COUNTA(C$4:C2680))</f>
        <v>2655</v>
      </c>
      <c r="B2680" s="1" t="s">
        <v>5136</v>
      </c>
      <c r="C2680" s="1" t="s">
        <v>5137</v>
      </c>
      <c r="E2680">
        <f t="shared" si="41"/>
        <v>0</v>
      </c>
    </row>
    <row r="2681" spans="1:5">
      <c r="A2681" s="1">
        <f>IF(C2681="","",COUNTA(C$4:C2681))</f>
        <v>2656</v>
      </c>
      <c r="B2681" s="1" t="s">
        <v>5132</v>
      </c>
      <c r="C2681" s="1" t="s">
        <v>5138</v>
      </c>
      <c r="E2681">
        <f t="shared" si="41"/>
        <v>0</v>
      </c>
    </row>
    <row r="2682" spans="1:5">
      <c r="A2682" s="1">
        <f>IF(C2682="","",COUNTA(C$4:C2682))</f>
        <v>2657</v>
      </c>
      <c r="B2682" s="1" t="s">
        <v>5139</v>
      </c>
      <c r="C2682" s="1" t="s">
        <v>5140</v>
      </c>
      <c r="E2682">
        <f t="shared" si="41"/>
        <v>0</v>
      </c>
    </row>
    <row r="2683" spans="1:5">
      <c r="A2683" s="1">
        <f>IF(C2683="","",COUNTA(C$4:C2683))</f>
        <v>2658</v>
      </c>
      <c r="B2683" s="1" t="s">
        <v>5141</v>
      </c>
      <c r="C2683" s="1" t="s">
        <v>5142</v>
      </c>
      <c r="E2683">
        <f t="shared" si="41"/>
        <v>0</v>
      </c>
    </row>
    <row r="2684" spans="1:5">
      <c r="A2684" s="1">
        <f>IF(C2684="","",COUNTA(C$4:C2684))</f>
        <v>2659</v>
      </c>
      <c r="B2684" s="1" t="s">
        <v>5143</v>
      </c>
      <c r="C2684" s="1" t="s">
        <v>5144</v>
      </c>
      <c r="E2684">
        <f t="shared" si="41"/>
        <v>0</v>
      </c>
    </row>
    <row r="2685" spans="1:5">
      <c r="A2685" s="1">
        <f>IF(C2685="","",COUNTA(C$4:C2685))</f>
        <v>2660</v>
      </c>
      <c r="B2685" s="1" t="s">
        <v>5145</v>
      </c>
      <c r="C2685" s="1" t="s">
        <v>5146</v>
      </c>
      <c r="E2685">
        <f t="shared" si="41"/>
        <v>0</v>
      </c>
    </row>
    <row r="2686" spans="1:5">
      <c r="A2686" s="1">
        <f>IF(C2686="","",COUNTA(C$4:C2686))</f>
        <v>2661</v>
      </c>
      <c r="B2686" s="1" t="s">
        <v>5147</v>
      </c>
      <c r="C2686" s="1" t="s">
        <v>5148</v>
      </c>
      <c r="E2686">
        <f t="shared" si="41"/>
        <v>0</v>
      </c>
    </row>
    <row r="2687" spans="1:5">
      <c r="A2687" s="1">
        <f>IF(C2687="","",COUNTA(C$4:C2687))</f>
        <v>2662</v>
      </c>
      <c r="B2687" s="1" t="s">
        <v>5149</v>
      </c>
      <c r="C2687" s="1" t="s">
        <v>5150</v>
      </c>
      <c r="E2687">
        <f t="shared" si="41"/>
        <v>0</v>
      </c>
    </row>
    <row r="2688" spans="1:5">
      <c r="A2688" s="1">
        <f>IF(C2688="","",COUNTA(C$4:C2688))</f>
        <v>2663</v>
      </c>
      <c r="B2688" s="1" t="s">
        <v>4800</v>
      </c>
      <c r="C2688" s="1" t="s">
        <v>5151</v>
      </c>
      <c r="E2688">
        <f t="shared" si="41"/>
        <v>0</v>
      </c>
    </row>
    <row r="2689" spans="1:5">
      <c r="A2689" s="1">
        <f>IF(C2689="","",COUNTA(C$4:C2689))</f>
        <v>2664</v>
      </c>
      <c r="B2689" s="1" t="s">
        <v>5152</v>
      </c>
      <c r="C2689" s="1" t="s">
        <v>5153</v>
      </c>
      <c r="E2689">
        <f t="shared" si="41"/>
        <v>0</v>
      </c>
    </row>
    <row r="2690" spans="1:5">
      <c r="A2690" s="1">
        <f>IF(C2690="","",COUNTA(C$4:C2690))</f>
        <v>2665</v>
      </c>
      <c r="B2690" s="1" t="s">
        <v>5154</v>
      </c>
      <c r="C2690" s="1" t="s">
        <v>5155</v>
      </c>
      <c r="E2690">
        <f t="shared" si="41"/>
        <v>0</v>
      </c>
    </row>
    <row r="2691" spans="1:5">
      <c r="A2691" s="1">
        <f>IF(C2691="","",COUNTA(C$4:C2691))</f>
        <v>2666</v>
      </c>
      <c r="B2691" s="1" t="s">
        <v>5156</v>
      </c>
      <c r="C2691" s="1" t="s">
        <v>5157</v>
      </c>
      <c r="E2691">
        <f t="shared" si="41"/>
        <v>0</v>
      </c>
    </row>
    <row r="2692" spans="1:5">
      <c r="A2692" s="1">
        <f>IF(C2692="","",COUNTA(C$4:C2692))</f>
        <v>2667</v>
      </c>
      <c r="B2692" s="1" t="s">
        <v>5158</v>
      </c>
      <c r="C2692" s="1" t="s">
        <v>5159</v>
      </c>
      <c r="E2692">
        <f t="shared" si="41"/>
        <v>0</v>
      </c>
    </row>
    <row r="2693" spans="1:5">
      <c r="A2693" s="1">
        <f>IF(C2693="","",COUNTA(C$4:C2693))</f>
        <v>2668</v>
      </c>
      <c r="B2693" s="1" t="s">
        <v>5160</v>
      </c>
      <c r="C2693" s="1" t="s">
        <v>5161</v>
      </c>
      <c r="E2693">
        <f t="shared" ref="E2693:E2756" si="42">IF(C2693=D2693,1,0)</f>
        <v>0</v>
      </c>
    </row>
    <row r="2694" spans="1:5">
      <c r="A2694" s="1">
        <f>IF(C2694="","",COUNTA(C$4:C2694))</f>
        <v>2669</v>
      </c>
      <c r="B2694" s="1" t="s">
        <v>5162</v>
      </c>
      <c r="C2694" s="1" t="s">
        <v>5163</v>
      </c>
      <c r="E2694">
        <f t="shared" si="42"/>
        <v>0</v>
      </c>
    </row>
    <row r="2695" spans="1:5">
      <c r="A2695" s="1">
        <f>IF(C2695="","",COUNTA(C$4:C2695))</f>
        <v>2670</v>
      </c>
      <c r="B2695" s="1" t="s">
        <v>2887</v>
      </c>
      <c r="C2695" s="1" t="s">
        <v>5164</v>
      </c>
      <c r="E2695">
        <f t="shared" si="42"/>
        <v>0</v>
      </c>
    </row>
    <row r="2696" spans="1:5">
      <c r="A2696" s="1">
        <f>IF(C2696="","",COUNTA(C$4:C2696))</f>
        <v>2671</v>
      </c>
      <c r="B2696" s="1" t="s">
        <v>5165</v>
      </c>
      <c r="C2696" s="3" t="s">
        <v>5166</v>
      </c>
      <c r="E2696">
        <f t="shared" si="42"/>
        <v>0</v>
      </c>
    </row>
    <row r="2697" spans="1:5">
      <c r="A2697" s="1">
        <f>IF(C2697="","",COUNTA(C$4:C2697))</f>
        <v>2672</v>
      </c>
      <c r="B2697" s="1" t="s">
        <v>5167</v>
      </c>
      <c r="C2697" s="1" t="s">
        <v>5168</v>
      </c>
      <c r="E2697">
        <f t="shared" si="42"/>
        <v>0</v>
      </c>
    </row>
    <row r="2698" spans="1:5">
      <c r="A2698" s="1">
        <f>IF(C2698="","",COUNTA(C$4:C2698))</f>
        <v>2673</v>
      </c>
      <c r="B2698" s="1" t="s">
        <v>5169</v>
      </c>
      <c r="C2698" s="1" t="s">
        <v>5170</v>
      </c>
      <c r="E2698">
        <f t="shared" si="42"/>
        <v>0</v>
      </c>
    </row>
    <row r="2699" spans="1:5">
      <c r="A2699" s="1">
        <f>IF(C2699="","",COUNTA(C$4:C2699))</f>
        <v>2674</v>
      </c>
      <c r="B2699" s="1" t="s">
        <v>5171</v>
      </c>
      <c r="C2699" s="1" t="s">
        <v>5172</v>
      </c>
      <c r="E2699">
        <f t="shared" si="42"/>
        <v>0</v>
      </c>
    </row>
    <row r="2700" spans="1:5">
      <c r="A2700" s="1">
        <f>IF(C2700="","",COUNTA(C$4:C2700))</f>
        <v>2675</v>
      </c>
      <c r="B2700" s="1" t="s">
        <v>5173</v>
      </c>
      <c r="C2700" s="1" t="s">
        <v>5174</v>
      </c>
      <c r="E2700">
        <f t="shared" si="42"/>
        <v>0</v>
      </c>
    </row>
    <row r="2701" spans="1:5">
      <c r="A2701" s="1">
        <f>IF(C2701="","",COUNTA(C$4:C2701))</f>
        <v>2676</v>
      </c>
      <c r="B2701" s="1" t="s">
        <v>5175</v>
      </c>
      <c r="C2701" s="1" t="s">
        <v>5176</v>
      </c>
      <c r="E2701">
        <f t="shared" si="42"/>
        <v>0</v>
      </c>
    </row>
    <row r="2702" spans="1:5">
      <c r="A2702" s="1">
        <f>IF(C2702="","",COUNTA(C$4:C2702))</f>
        <v>2677</v>
      </c>
      <c r="B2702" s="1" t="s">
        <v>5177</v>
      </c>
      <c r="C2702" s="1" t="s">
        <v>5178</v>
      </c>
      <c r="E2702">
        <f t="shared" si="42"/>
        <v>0</v>
      </c>
    </row>
    <row r="2703" spans="1:5">
      <c r="A2703" s="1">
        <f>IF(C2703="","",COUNTA(C$4:C2703))</f>
        <v>2678</v>
      </c>
      <c r="B2703" s="1" t="s">
        <v>5179</v>
      </c>
      <c r="C2703" s="1" t="s">
        <v>5180</v>
      </c>
      <c r="E2703">
        <f t="shared" si="42"/>
        <v>0</v>
      </c>
    </row>
    <row r="2704" spans="1:5">
      <c r="A2704" s="1">
        <f>IF(C2704="","",COUNTA(C$4:C2704))</f>
        <v>2679</v>
      </c>
      <c r="B2704" s="1" t="s">
        <v>4782</v>
      </c>
      <c r="C2704" s="3" t="s">
        <v>5181</v>
      </c>
      <c r="E2704">
        <f t="shared" si="42"/>
        <v>0</v>
      </c>
    </row>
    <row r="2705" spans="1:5">
      <c r="A2705" s="1">
        <f>IF(C2705="","",COUNTA(C$4:C2705))</f>
        <v>2680</v>
      </c>
      <c r="B2705" s="1" t="s">
        <v>5182</v>
      </c>
      <c r="C2705" s="1" t="s">
        <v>5183</v>
      </c>
      <c r="E2705">
        <f t="shared" si="42"/>
        <v>0</v>
      </c>
    </row>
    <row r="2706" spans="1:5">
      <c r="A2706" s="1">
        <f>IF(C2706="","",COUNTA(C$4:C2706))</f>
        <v>2681</v>
      </c>
      <c r="B2706" s="1" t="s">
        <v>3907</v>
      </c>
      <c r="C2706" s="1" t="s">
        <v>5184</v>
      </c>
      <c r="E2706">
        <f t="shared" si="42"/>
        <v>0</v>
      </c>
    </row>
    <row r="2707" spans="1:5">
      <c r="A2707" s="1">
        <f>IF(C2707="","",COUNTA(C$4:C2707))</f>
        <v>2682</v>
      </c>
      <c r="B2707" s="1" t="s">
        <v>5185</v>
      </c>
      <c r="C2707" s="1" t="s">
        <v>5186</v>
      </c>
      <c r="E2707">
        <f t="shared" si="42"/>
        <v>0</v>
      </c>
    </row>
    <row r="2708" spans="1:5">
      <c r="A2708" s="1">
        <f>IF(C2708="","",COUNTA(C$4:C2708))</f>
        <v>2683</v>
      </c>
      <c r="B2708" s="1" t="s">
        <v>5187</v>
      </c>
      <c r="C2708" s="1" t="s">
        <v>5188</v>
      </c>
      <c r="E2708">
        <f t="shared" si="42"/>
        <v>0</v>
      </c>
    </row>
    <row r="2709" spans="1:5">
      <c r="A2709" s="1">
        <f>IF(C2709="","",COUNTA(C$4:C2709))</f>
        <v>2684</v>
      </c>
      <c r="B2709" s="1" t="s">
        <v>5189</v>
      </c>
      <c r="C2709" s="1" t="s">
        <v>5190</v>
      </c>
      <c r="E2709">
        <f t="shared" si="42"/>
        <v>0</v>
      </c>
    </row>
    <row r="2710" spans="1:5">
      <c r="A2710" s="1">
        <f>IF(C2710="","",COUNTA(C$4:C2710))</f>
        <v>2685</v>
      </c>
      <c r="B2710" s="1" t="s">
        <v>5191</v>
      </c>
      <c r="C2710" s="1" t="s">
        <v>5192</v>
      </c>
      <c r="E2710">
        <f t="shared" si="42"/>
        <v>0</v>
      </c>
    </row>
    <row r="2711" spans="1:5">
      <c r="A2711" s="1">
        <f>IF(C2711="","",COUNTA(C$4:C2711))</f>
        <v>2686</v>
      </c>
      <c r="B2711" s="1" t="s">
        <v>5193</v>
      </c>
      <c r="C2711" s="3" t="s">
        <v>5194</v>
      </c>
      <c r="E2711">
        <f t="shared" si="42"/>
        <v>0</v>
      </c>
    </row>
    <row r="2712" spans="1:5">
      <c r="A2712" s="1">
        <f>IF(C2712="","",COUNTA(C$4:C2712))</f>
        <v>2687</v>
      </c>
      <c r="B2712" s="1" t="s">
        <v>5195</v>
      </c>
      <c r="C2712" s="3" t="s">
        <v>5196</v>
      </c>
      <c r="E2712">
        <f t="shared" si="42"/>
        <v>0</v>
      </c>
    </row>
    <row r="2713" spans="1:5">
      <c r="A2713" s="1">
        <f>IF(C2713="","",COUNTA(C$4:C2713))</f>
        <v>2688</v>
      </c>
      <c r="B2713" s="1" t="s">
        <v>5197</v>
      </c>
      <c r="C2713" s="1" t="s">
        <v>5198</v>
      </c>
      <c r="E2713">
        <f t="shared" si="42"/>
        <v>0</v>
      </c>
    </row>
    <row r="2714" spans="1:5">
      <c r="A2714" s="12" t="s">
        <v>5199</v>
      </c>
      <c r="B2714" s="13"/>
      <c r="C2714" s="14"/>
      <c r="D2714" s="9"/>
      <c r="E2714">
        <f t="shared" si="42"/>
        <v>1</v>
      </c>
    </row>
    <row r="2715" spans="1:5">
      <c r="A2715" s="1">
        <f>IF(C2715="","",COUNTA(C$4:C2715))</f>
        <v>2689</v>
      </c>
      <c r="B2715" s="1" t="s">
        <v>5200</v>
      </c>
      <c r="C2715" s="1" t="s">
        <v>5201</v>
      </c>
      <c r="E2715">
        <f t="shared" si="42"/>
        <v>0</v>
      </c>
    </row>
    <row r="2716" spans="1:5">
      <c r="A2716" s="1">
        <f>IF(C2716="","",COUNTA(C$4:C2716))</f>
        <v>2690</v>
      </c>
      <c r="B2716" s="1" t="s">
        <v>5202</v>
      </c>
      <c r="C2716" s="1" t="s">
        <v>5203</v>
      </c>
      <c r="E2716">
        <f t="shared" si="42"/>
        <v>0</v>
      </c>
    </row>
    <row r="2717" spans="1:5">
      <c r="A2717" s="1">
        <f>IF(C2717="","",COUNTA(C$4:C2717))</f>
        <v>2691</v>
      </c>
      <c r="B2717" s="1" t="s">
        <v>5200</v>
      </c>
      <c r="C2717" s="1" t="s">
        <v>5204</v>
      </c>
      <c r="E2717">
        <f t="shared" si="42"/>
        <v>0</v>
      </c>
    </row>
    <row r="2718" spans="1:5">
      <c r="A2718" s="1">
        <f>IF(C2718="","",COUNTA(C$4:C2718))</f>
        <v>2692</v>
      </c>
      <c r="B2718" s="1" t="s">
        <v>5205</v>
      </c>
      <c r="C2718" s="1" t="s">
        <v>5206</v>
      </c>
      <c r="E2718">
        <f t="shared" si="42"/>
        <v>0</v>
      </c>
    </row>
    <row r="2719" spans="1:5">
      <c r="A2719" s="1">
        <f>IF(C2719="","",COUNTA(C$4:C2719))</f>
        <v>2693</v>
      </c>
      <c r="B2719" s="1" t="s">
        <v>5207</v>
      </c>
      <c r="C2719" s="1" t="s">
        <v>5208</v>
      </c>
      <c r="E2719">
        <f t="shared" si="42"/>
        <v>0</v>
      </c>
    </row>
    <row r="2720" spans="1:5">
      <c r="A2720" s="1">
        <f>IF(C2720="","",COUNTA(C$4:C2720))</f>
        <v>2694</v>
      </c>
      <c r="B2720" s="1" t="s">
        <v>5209</v>
      </c>
      <c r="C2720" s="1" t="s">
        <v>5210</v>
      </c>
      <c r="E2720">
        <f t="shared" si="42"/>
        <v>0</v>
      </c>
    </row>
    <row r="2721" spans="1:5">
      <c r="A2721" s="1">
        <f>IF(C2721="","",COUNTA(C$4:C2721))</f>
        <v>2695</v>
      </c>
      <c r="B2721" s="1" t="s">
        <v>5211</v>
      </c>
      <c r="C2721" s="1" t="s">
        <v>5212</v>
      </c>
      <c r="E2721">
        <f t="shared" si="42"/>
        <v>0</v>
      </c>
    </row>
    <row r="2722" spans="1:5">
      <c r="A2722" s="1">
        <f>IF(C2722="","",COUNTA(C$4:C2722))</f>
        <v>2696</v>
      </c>
      <c r="B2722" s="1" t="s">
        <v>5213</v>
      </c>
      <c r="C2722" s="1" t="s">
        <v>5214</v>
      </c>
      <c r="E2722">
        <f t="shared" si="42"/>
        <v>0</v>
      </c>
    </row>
    <row r="2723" spans="1:5">
      <c r="A2723" s="1">
        <f>IF(C2723="","",COUNTA(C$4:C2723))</f>
        <v>2697</v>
      </c>
      <c r="B2723" s="1" t="s">
        <v>5215</v>
      </c>
      <c r="C2723" s="1" t="s">
        <v>5216</v>
      </c>
      <c r="E2723">
        <f t="shared" si="42"/>
        <v>0</v>
      </c>
    </row>
    <row r="2724" spans="1:5">
      <c r="A2724" s="1">
        <f>IF(C2724="","",COUNTA(C$4:C2724))</f>
        <v>2698</v>
      </c>
      <c r="B2724" s="1" t="s">
        <v>5217</v>
      </c>
      <c r="C2724" s="1" t="s">
        <v>5218</v>
      </c>
      <c r="E2724">
        <f t="shared" si="42"/>
        <v>0</v>
      </c>
    </row>
    <row r="2725" spans="1:5">
      <c r="A2725" s="1">
        <f>IF(C2725="","",COUNTA(C$4:C2725))</f>
        <v>2699</v>
      </c>
      <c r="B2725" s="1" t="s">
        <v>5219</v>
      </c>
      <c r="C2725" s="1" t="s">
        <v>5220</v>
      </c>
      <c r="E2725">
        <f t="shared" si="42"/>
        <v>0</v>
      </c>
    </row>
    <row r="2726" spans="1:5">
      <c r="A2726" s="1">
        <f>IF(C2726="","",COUNTA(C$4:C2726))</f>
        <v>2700</v>
      </c>
      <c r="B2726" s="1" t="s">
        <v>5221</v>
      </c>
      <c r="C2726" s="1" t="s">
        <v>5222</v>
      </c>
      <c r="E2726">
        <f t="shared" si="42"/>
        <v>0</v>
      </c>
    </row>
    <row r="2727" spans="1:5">
      <c r="A2727" s="1">
        <f>IF(C2727="","",COUNTA(C$4:C2727))</f>
        <v>2701</v>
      </c>
      <c r="B2727" s="1" t="s">
        <v>5223</v>
      </c>
      <c r="C2727" s="3" t="s">
        <v>5224</v>
      </c>
      <c r="E2727">
        <f t="shared" si="42"/>
        <v>0</v>
      </c>
    </row>
    <row r="2728" spans="1:5">
      <c r="A2728" s="1">
        <f>IF(C2728="","",COUNTA(C$4:C2728))</f>
        <v>2702</v>
      </c>
      <c r="B2728" s="1" t="s">
        <v>5225</v>
      </c>
      <c r="C2728" s="1" t="s">
        <v>5226</v>
      </c>
      <c r="E2728">
        <f t="shared" si="42"/>
        <v>0</v>
      </c>
    </row>
    <row r="2729" spans="1:5">
      <c r="A2729" s="1">
        <f>IF(C2729="","",COUNTA(C$4:C2729))</f>
        <v>2703</v>
      </c>
      <c r="B2729" s="1" t="s">
        <v>5227</v>
      </c>
      <c r="C2729" s="1" t="s">
        <v>5228</v>
      </c>
      <c r="E2729">
        <f t="shared" si="42"/>
        <v>0</v>
      </c>
    </row>
    <row r="2730" spans="1:5">
      <c r="A2730" s="1">
        <f>IF(C2730="","",COUNTA(C$4:C2730))</f>
        <v>2704</v>
      </c>
      <c r="B2730" s="1" t="s">
        <v>5229</v>
      </c>
      <c r="C2730" s="1" t="s">
        <v>5230</v>
      </c>
      <c r="E2730">
        <f t="shared" si="42"/>
        <v>0</v>
      </c>
    </row>
    <row r="2731" spans="1:5">
      <c r="A2731" s="1">
        <f>IF(C2731="","",COUNTA(C$4:C2731))</f>
        <v>2705</v>
      </c>
      <c r="B2731" s="1" t="s">
        <v>5231</v>
      </c>
      <c r="C2731" s="1" t="s">
        <v>5232</v>
      </c>
      <c r="E2731">
        <f t="shared" si="42"/>
        <v>0</v>
      </c>
    </row>
    <row r="2732" spans="1:5">
      <c r="A2732" s="1">
        <f>IF(C2732="","",COUNTA(C$4:C2732))</f>
        <v>2706</v>
      </c>
      <c r="B2732" s="1" t="s">
        <v>5233</v>
      </c>
      <c r="C2732" s="1" t="s">
        <v>5234</v>
      </c>
      <c r="E2732">
        <f t="shared" si="42"/>
        <v>0</v>
      </c>
    </row>
    <row r="2733" spans="1:5">
      <c r="A2733" s="1">
        <f>IF(C2733="","",COUNTA(C$4:C2733))</f>
        <v>2707</v>
      </c>
      <c r="B2733" s="1" t="s">
        <v>5235</v>
      </c>
      <c r="C2733" s="1" t="s">
        <v>5236</v>
      </c>
      <c r="E2733">
        <f t="shared" si="42"/>
        <v>0</v>
      </c>
    </row>
    <row r="2734" spans="1:5">
      <c r="A2734" s="1">
        <f>IF(C2734="","",COUNTA(C$4:C2734))</f>
        <v>2708</v>
      </c>
      <c r="B2734" s="1" t="s">
        <v>5237</v>
      </c>
      <c r="C2734" s="1" t="s">
        <v>5238</v>
      </c>
      <c r="E2734">
        <f t="shared" si="42"/>
        <v>0</v>
      </c>
    </row>
    <row r="2735" spans="1:5">
      <c r="A2735" s="1">
        <f>IF(C2735="","",COUNTA(C$4:C2735))</f>
        <v>2709</v>
      </c>
      <c r="B2735" s="1" t="s">
        <v>5239</v>
      </c>
      <c r="C2735" s="1" t="s">
        <v>5240</v>
      </c>
      <c r="E2735">
        <f t="shared" si="42"/>
        <v>0</v>
      </c>
    </row>
    <row r="2736" spans="1:5">
      <c r="A2736" s="1">
        <f>IF(C2736="","",COUNTA(C$4:C2736))</f>
        <v>2710</v>
      </c>
      <c r="B2736" s="1" t="s">
        <v>5241</v>
      </c>
      <c r="C2736" s="1" t="s">
        <v>5242</v>
      </c>
      <c r="E2736">
        <f t="shared" si="42"/>
        <v>0</v>
      </c>
    </row>
    <row r="2737" spans="1:5">
      <c r="A2737" s="1">
        <f>IF(C2737="","",COUNTA(C$4:C2737))</f>
        <v>2711</v>
      </c>
      <c r="B2737" s="1" t="s">
        <v>5243</v>
      </c>
      <c r="C2737" s="1" t="s">
        <v>5244</v>
      </c>
      <c r="E2737">
        <f t="shared" si="42"/>
        <v>0</v>
      </c>
    </row>
    <row r="2738" spans="1:5">
      <c r="A2738" s="1">
        <f>IF(C2738="","",COUNTA(C$4:C2738))</f>
        <v>2712</v>
      </c>
      <c r="B2738" s="1" t="s">
        <v>5245</v>
      </c>
      <c r="C2738" s="1" t="s">
        <v>5246</v>
      </c>
      <c r="E2738">
        <f t="shared" si="42"/>
        <v>0</v>
      </c>
    </row>
    <row r="2739" spans="1:5">
      <c r="A2739" s="1">
        <f>IF(C2739="","",COUNTA(C$4:C2739))</f>
        <v>2713</v>
      </c>
      <c r="B2739" s="1" t="s">
        <v>5247</v>
      </c>
      <c r="C2739" s="1" t="s">
        <v>5248</v>
      </c>
      <c r="E2739">
        <f t="shared" si="42"/>
        <v>0</v>
      </c>
    </row>
    <row r="2740" spans="1:5">
      <c r="A2740" s="1">
        <f>IF(C2740="","",COUNTA(C$4:C2740))</f>
        <v>2714</v>
      </c>
      <c r="B2740" s="1" t="s">
        <v>5249</v>
      </c>
      <c r="C2740" s="1" t="s">
        <v>5250</v>
      </c>
      <c r="E2740">
        <f t="shared" si="42"/>
        <v>0</v>
      </c>
    </row>
    <row r="2741" spans="1:5">
      <c r="A2741" s="1">
        <f>IF(C2741="","",COUNTA(C$4:C2741))</f>
        <v>2715</v>
      </c>
      <c r="B2741" s="1" t="s">
        <v>5251</v>
      </c>
      <c r="C2741" s="1" t="s">
        <v>5252</v>
      </c>
      <c r="E2741">
        <f t="shared" si="42"/>
        <v>0</v>
      </c>
    </row>
    <row r="2742" spans="1:5">
      <c r="A2742" s="1">
        <f>IF(C2742="","",COUNTA(C$4:C2742))</f>
        <v>2716</v>
      </c>
      <c r="B2742" s="1" t="s">
        <v>5253</v>
      </c>
      <c r="C2742" s="1" t="s">
        <v>5254</v>
      </c>
      <c r="E2742">
        <f t="shared" si="42"/>
        <v>0</v>
      </c>
    </row>
    <row r="2743" spans="1:5">
      <c r="A2743" s="1">
        <f>IF(C2743="","",COUNTA(C$4:C2743))</f>
        <v>2717</v>
      </c>
      <c r="B2743" s="1" t="s">
        <v>5255</v>
      </c>
      <c r="C2743" s="1" t="s">
        <v>5256</v>
      </c>
      <c r="E2743">
        <f t="shared" si="42"/>
        <v>0</v>
      </c>
    </row>
    <row r="2744" spans="1:5">
      <c r="A2744" s="1">
        <f>IF(C2744="","",COUNTA(C$4:C2744))</f>
        <v>2718</v>
      </c>
      <c r="B2744" s="1" t="s">
        <v>5257</v>
      </c>
      <c r="C2744" s="1" t="s">
        <v>5258</v>
      </c>
      <c r="E2744">
        <f t="shared" si="42"/>
        <v>0</v>
      </c>
    </row>
    <row r="2745" spans="1:5">
      <c r="A2745" s="1">
        <f>IF(C2745="","",COUNTA(C$4:C2745))</f>
        <v>2719</v>
      </c>
      <c r="B2745" s="1" t="s">
        <v>5259</v>
      </c>
      <c r="C2745" s="3" t="s">
        <v>5260</v>
      </c>
      <c r="E2745">
        <f t="shared" si="42"/>
        <v>0</v>
      </c>
    </row>
    <row r="2746" spans="1:5">
      <c r="A2746" s="1">
        <f>IF(C2746="","",COUNTA(C$4:C2746))</f>
        <v>2720</v>
      </c>
      <c r="B2746" s="1" t="s">
        <v>5261</v>
      </c>
      <c r="C2746" s="1" t="s">
        <v>5262</v>
      </c>
      <c r="E2746">
        <f t="shared" si="42"/>
        <v>0</v>
      </c>
    </row>
    <row r="2747" spans="1:5">
      <c r="A2747" s="1">
        <f>IF(C2747="","",COUNTA(C$4:C2747))</f>
        <v>2721</v>
      </c>
      <c r="B2747" s="1" t="s">
        <v>5263</v>
      </c>
      <c r="C2747" s="1" t="s">
        <v>5264</v>
      </c>
      <c r="E2747">
        <f t="shared" si="42"/>
        <v>0</v>
      </c>
    </row>
    <row r="2748" spans="1:5">
      <c r="A2748" s="1">
        <f>IF(C2748="","",COUNTA(C$4:C2748))</f>
        <v>2722</v>
      </c>
      <c r="B2748" s="1" t="s">
        <v>5265</v>
      </c>
      <c r="C2748" s="1" t="s">
        <v>5266</v>
      </c>
      <c r="E2748">
        <f t="shared" si="42"/>
        <v>0</v>
      </c>
    </row>
    <row r="2749" spans="1:5">
      <c r="A2749" s="1">
        <f>IF(C2749="","",COUNTA(C$4:C2749))</f>
        <v>2723</v>
      </c>
      <c r="B2749" s="1" t="s">
        <v>5267</v>
      </c>
      <c r="C2749" s="1" t="s">
        <v>5268</v>
      </c>
      <c r="E2749">
        <f t="shared" si="42"/>
        <v>0</v>
      </c>
    </row>
    <row r="2750" spans="1:5">
      <c r="A2750" s="1">
        <f>IF(C2750="","",COUNTA(C$4:C2750))</f>
        <v>2724</v>
      </c>
      <c r="B2750" s="1" t="s">
        <v>5269</v>
      </c>
      <c r="C2750" s="1" t="s">
        <v>5270</v>
      </c>
      <c r="E2750">
        <f t="shared" si="42"/>
        <v>0</v>
      </c>
    </row>
    <row r="2751" spans="1:5">
      <c r="A2751" s="1">
        <f>IF(C2751="","",COUNTA(C$4:C2751))</f>
        <v>2725</v>
      </c>
      <c r="B2751" s="1" t="s">
        <v>5271</v>
      </c>
      <c r="C2751" s="1" t="s">
        <v>5272</v>
      </c>
      <c r="E2751">
        <f t="shared" si="42"/>
        <v>0</v>
      </c>
    </row>
    <row r="2752" spans="1:5">
      <c r="A2752" s="1">
        <f>IF(C2752="","",COUNTA(C$4:C2752))</f>
        <v>2726</v>
      </c>
      <c r="B2752" s="1" t="s">
        <v>5273</v>
      </c>
      <c r="C2752" s="1" t="s">
        <v>5274</v>
      </c>
      <c r="E2752">
        <f t="shared" si="42"/>
        <v>0</v>
      </c>
    </row>
    <row r="2753" spans="1:5">
      <c r="A2753" s="1">
        <f>IF(C2753="","",COUNTA(C$4:C2753))</f>
        <v>2727</v>
      </c>
      <c r="B2753" s="1" t="s">
        <v>5275</v>
      </c>
      <c r="C2753" s="1" t="s">
        <v>5276</v>
      </c>
      <c r="E2753">
        <f t="shared" si="42"/>
        <v>0</v>
      </c>
    </row>
    <row r="2754" spans="1:5">
      <c r="A2754" s="1">
        <f>IF(C2754="","",COUNTA(C$4:C2754))</f>
        <v>2728</v>
      </c>
      <c r="B2754" s="1" t="s">
        <v>5277</v>
      </c>
      <c r="C2754" s="1" t="s">
        <v>5278</v>
      </c>
      <c r="E2754">
        <f t="shared" si="42"/>
        <v>0</v>
      </c>
    </row>
    <row r="2755" spans="1:5">
      <c r="A2755" s="1">
        <f>IF(C2755="","",COUNTA(C$4:C2755))</f>
        <v>2729</v>
      </c>
      <c r="B2755" s="1" t="s">
        <v>5279</v>
      </c>
      <c r="C2755" s="1" t="s">
        <v>5280</v>
      </c>
      <c r="E2755">
        <f t="shared" si="42"/>
        <v>0</v>
      </c>
    </row>
    <row r="2756" spans="1:5">
      <c r="A2756" s="1">
        <f>IF(C2756="","",COUNTA(C$4:C2756))</f>
        <v>2730</v>
      </c>
      <c r="B2756" s="1" t="s">
        <v>5281</v>
      </c>
      <c r="C2756" s="1" t="s">
        <v>5282</v>
      </c>
      <c r="E2756">
        <f t="shared" si="42"/>
        <v>0</v>
      </c>
    </row>
    <row r="2757" spans="1:5">
      <c r="A2757" s="1">
        <f>IF(C2757="","",COUNTA(C$4:C2757))</f>
        <v>2731</v>
      </c>
      <c r="B2757" s="1" t="s">
        <v>5215</v>
      </c>
      <c r="C2757" s="1" t="s">
        <v>5283</v>
      </c>
      <c r="E2757">
        <f t="shared" ref="E2757:E2820" si="43">IF(C2757=D2757,1,0)</f>
        <v>0</v>
      </c>
    </row>
    <row r="2758" spans="1:5">
      <c r="A2758" s="1">
        <f>IF(C2758="","",COUNTA(C$4:C2758))</f>
        <v>2732</v>
      </c>
      <c r="B2758" s="1" t="s">
        <v>5284</v>
      </c>
      <c r="C2758" s="1" t="s">
        <v>5285</v>
      </c>
      <c r="E2758">
        <f t="shared" si="43"/>
        <v>0</v>
      </c>
    </row>
    <row r="2759" spans="1:5">
      <c r="A2759" s="1">
        <f>IF(C2759="","",COUNTA(C$4:C2759))</f>
        <v>2733</v>
      </c>
      <c r="B2759" s="1" t="s">
        <v>5286</v>
      </c>
      <c r="C2759" s="1" t="s">
        <v>5287</v>
      </c>
      <c r="E2759">
        <f t="shared" si="43"/>
        <v>0</v>
      </c>
    </row>
    <row r="2760" spans="1:5">
      <c r="A2760" s="1">
        <f>IF(C2760="","",COUNTA(C$4:C2760))</f>
        <v>2734</v>
      </c>
      <c r="B2760" s="1" t="s">
        <v>3322</v>
      </c>
      <c r="C2760" s="1" t="s">
        <v>5288</v>
      </c>
      <c r="E2760">
        <f t="shared" si="43"/>
        <v>0</v>
      </c>
    </row>
    <row r="2761" spans="1:5">
      <c r="A2761" s="1">
        <f>IF(C2761="","",COUNTA(C$4:C2761))</f>
        <v>2735</v>
      </c>
      <c r="B2761" s="1" t="s">
        <v>5289</v>
      </c>
      <c r="C2761" s="1" t="s">
        <v>5290</v>
      </c>
      <c r="E2761">
        <f t="shared" si="43"/>
        <v>0</v>
      </c>
    </row>
    <row r="2762" spans="1:5">
      <c r="A2762" s="1">
        <f>IF(C2762="","",COUNTA(C$4:C2762))</f>
        <v>2736</v>
      </c>
      <c r="B2762" s="1" t="s">
        <v>5291</v>
      </c>
      <c r="C2762" s="1" t="s">
        <v>5292</v>
      </c>
      <c r="E2762">
        <f t="shared" si="43"/>
        <v>0</v>
      </c>
    </row>
    <row r="2763" spans="1:5">
      <c r="A2763" s="1">
        <f>IF(C2763="","",COUNTA(C$4:C2763))</f>
        <v>2737</v>
      </c>
      <c r="B2763" s="1" t="s">
        <v>5293</v>
      </c>
      <c r="C2763" s="1" t="s">
        <v>5294</v>
      </c>
      <c r="E2763">
        <f t="shared" si="43"/>
        <v>0</v>
      </c>
    </row>
    <row r="2764" spans="1:5">
      <c r="A2764" s="1">
        <f>IF(C2764="","",COUNTA(C$4:C2764))</f>
        <v>2738</v>
      </c>
      <c r="B2764" s="1" t="s">
        <v>5295</v>
      </c>
      <c r="C2764" s="1" t="s">
        <v>5296</v>
      </c>
      <c r="E2764">
        <f t="shared" si="43"/>
        <v>0</v>
      </c>
    </row>
    <row r="2765" spans="1:5">
      <c r="A2765" s="1">
        <f>IF(C2765="","",COUNTA(C$4:C2765))</f>
        <v>2739</v>
      </c>
      <c r="B2765" s="1" t="s">
        <v>5297</v>
      </c>
      <c r="C2765" s="1" t="s">
        <v>5298</v>
      </c>
      <c r="E2765">
        <f t="shared" si="43"/>
        <v>0</v>
      </c>
    </row>
    <row r="2766" spans="1:5">
      <c r="A2766" s="1">
        <f>IF(C2766="","",COUNTA(C$4:C2766))</f>
        <v>2740</v>
      </c>
      <c r="B2766" s="1" t="s">
        <v>5299</v>
      </c>
      <c r="C2766" s="1" t="s">
        <v>5300</v>
      </c>
      <c r="E2766">
        <f t="shared" si="43"/>
        <v>0</v>
      </c>
    </row>
    <row r="2767" spans="1:5">
      <c r="A2767" s="1">
        <f>IF(C2767="","",COUNTA(C$4:C2767))</f>
        <v>2741</v>
      </c>
      <c r="B2767" s="1" t="s">
        <v>5301</v>
      </c>
      <c r="C2767" s="1" t="s">
        <v>5302</v>
      </c>
      <c r="E2767">
        <f t="shared" si="43"/>
        <v>0</v>
      </c>
    </row>
    <row r="2768" spans="1:5">
      <c r="A2768" s="1">
        <f>IF(C2768="","",COUNTA(C$4:C2768))</f>
        <v>2742</v>
      </c>
      <c r="B2768" s="1" t="s">
        <v>5303</v>
      </c>
      <c r="C2768" s="1" t="s">
        <v>5304</v>
      </c>
      <c r="E2768">
        <f t="shared" si="43"/>
        <v>0</v>
      </c>
    </row>
    <row r="2769" spans="1:5">
      <c r="A2769" s="1">
        <f>IF(C2769="","",COUNTA(C$4:C2769))</f>
        <v>2743</v>
      </c>
      <c r="B2769" s="1" t="s">
        <v>5305</v>
      </c>
      <c r="C2769" s="1" t="s">
        <v>5306</v>
      </c>
      <c r="E2769">
        <f t="shared" si="43"/>
        <v>0</v>
      </c>
    </row>
    <row r="2770" spans="1:5">
      <c r="A2770" s="1">
        <f>IF(C2770="","",COUNTA(C$4:C2770))</f>
        <v>2744</v>
      </c>
      <c r="B2770" s="1" t="s">
        <v>5307</v>
      </c>
      <c r="C2770" s="1" t="s">
        <v>5308</v>
      </c>
      <c r="E2770">
        <f t="shared" si="43"/>
        <v>0</v>
      </c>
    </row>
    <row r="2771" spans="1:5">
      <c r="A2771" s="1">
        <f>IF(C2771="","",COUNTA(C$4:C2771))</f>
        <v>2745</v>
      </c>
      <c r="B2771" s="1" t="s">
        <v>5309</v>
      </c>
      <c r="C2771" s="1" t="s">
        <v>5310</v>
      </c>
      <c r="E2771">
        <f t="shared" si="43"/>
        <v>0</v>
      </c>
    </row>
    <row r="2772" spans="1:5">
      <c r="A2772" s="1">
        <f>IF(C2772="","",COUNTA(C$4:C2772))</f>
        <v>2746</v>
      </c>
      <c r="B2772" s="1" t="s">
        <v>5311</v>
      </c>
      <c r="C2772" s="1" t="s">
        <v>5312</v>
      </c>
      <c r="E2772">
        <f t="shared" si="43"/>
        <v>0</v>
      </c>
    </row>
    <row r="2773" spans="1:5">
      <c r="A2773" s="1">
        <f>IF(C2773="","",COUNTA(C$4:C2773))</f>
        <v>2747</v>
      </c>
      <c r="B2773" s="1" t="s">
        <v>5313</v>
      </c>
      <c r="C2773" s="1" t="s">
        <v>5314</v>
      </c>
      <c r="E2773">
        <f t="shared" si="43"/>
        <v>0</v>
      </c>
    </row>
    <row r="2774" spans="1:5">
      <c r="A2774" s="1">
        <f>IF(C2774="","",COUNTA(C$4:C2774))</f>
        <v>2748</v>
      </c>
      <c r="B2774" s="1" t="s">
        <v>5315</v>
      </c>
      <c r="C2774" s="1" t="s">
        <v>5316</v>
      </c>
      <c r="E2774">
        <f t="shared" si="43"/>
        <v>0</v>
      </c>
    </row>
    <row r="2775" spans="1:5">
      <c r="A2775" s="1">
        <f>IF(C2775="","",COUNTA(C$4:C2775))</f>
        <v>2749</v>
      </c>
      <c r="B2775" s="1" t="s">
        <v>5317</v>
      </c>
      <c r="C2775" s="1" t="s">
        <v>5318</v>
      </c>
      <c r="E2775">
        <f t="shared" si="43"/>
        <v>0</v>
      </c>
    </row>
    <row r="2776" spans="1:5">
      <c r="A2776" s="1">
        <f>IF(C2776="","",COUNTA(C$4:C2776))</f>
        <v>2750</v>
      </c>
      <c r="B2776" s="1" t="s">
        <v>5319</v>
      </c>
      <c r="C2776" s="1" t="s">
        <v>5320</v>
      </c>
      <c r="E2776">
        <f t="shared" si="43"/>
        <v>0</v>
      </c>
    </row>
    <row r="2777" spans="1:5">
      <c r="A2777" s="1">
        <f>IF(C2777="","",COUNTA(C$4:C2777))</f>
        <v>2751</v>
      </c>
      <c r="B2777" s="1" t="s">
        <v>5321</v>
      </c>
      <c r="C2777" s="1" t="s">
        <v>5322</v>
      </c>
      <c r="E2777">
        <f t="shared" si="43"/>
        <v>0</v>
      </c>
    </row>
    <row r="2778" spans="1:5">
      <c r="A2778" s="1">
        <f>IF(C2778="","",COUNTA(C$4:C2778))</f>
        <v>2752</v>
      </c>
      <c r="B2778" s="1" t="s">
        <v>5323</v>
      </c>
      <c r="C2778" s="1" t="s">
        <v>5324</v>
      </c>
      <c r="E2778">
        <f t="shared" si="43"/>
        <v>0</v>
      </c>
    </row>
    <row r="2779" spans="1:5">
      <c r="A2779" s="1">
        <f>IF(C2779="","",COUNTA(C$4:C2779))</f>
        <v>2753</v>
      </c>
      <c r="B2779" s="1" t="s">
        <v>5325</v>
      </c>
      <c r="C2779" s="1" t="s">
        <v>5326</v>
      </c>
      <c r="E2779">
        <f t="shared" si="43"/>
        <v>0</v>
      </c>
    </row>
    <row r="2780" spans="1:5">
      <c r="A2780" s="1">
        <f>IF(C2780="","",COUNTA(C$4:C2780))</f>
        <v>2754</v>
      </c>
      <c r="B2780" s="1" t="s">
        <v>5327</v>
      </c>
      <c r="C2780" s="3" t="s">
        <v>5328</v>
      </c>
      <c r="E2780">
        <f t="shared" si="43"/>
        <v>0</v>
      </c>
    </row>
    <row r="2781" spans="1:5">
      <c r="A2781" s="1">
        <f>IF(C2781="","",COUNTA(C$4:C2781))</f>
        <v>2755</v>
      </c>
      <c r="B2781" s="1" t="s">
        <v>5329</v>
      </c>
      <c r="C2781" s="1" t="s">
        <v>5330</v>
      </c>
      <c r="E2781">
        <f t="shared" si="43"/>
        <v>0</v>
      </c>
    </row>
    <row r="2782" spans="1:5">
      <c r="A2782" s="1">
        <f>IF(C2782="","",COUNTA(C$4:C2782))</f>
        <v>2756</v>
      </c>
      <c r="B2782" s="1" t="s">
        <v>5331</v>
      </c>
      <c r="C2782" s="1" t="s">
        <v>5332</v>
      </c>
      <c r="E2782">
        <f t="shared" si="43"/>
        <v>0</v>
      </c>
    </row>
    <row r="2783" spans="1:5">
      <c r="A2783" s="1">
        <f>IF(C2783="","",COUNTA(C$4:C2783))</f>
        <v>2757</v>
      </c>
      <c r="B2783" s="1" t="s">
        <v>5333</v>
      </c>
      <c r="C2783" s="1" t="s">
        <v>5334</v>
      </c>
      <c r="E2783">
        <f t="shared" si="43"/>
        <v>0</v>
      </c>
    </row>
    <row r="2784" spans="1:5">
      <c r="A2784" s="1">
        <f>IF(C2784="","",COUNTA(C$4:C2784))</f>
        <v>2758</v>
      </c>
      <c r="B2784" s="1" t="s">
        <v>5335</v>
      </c>
      <c r="C2784" s="1" t="s">
        <v>5336</v>
      </c>
      <c r="E2784">
        <f t="shared" si="43"/>
        <v>0</v>
      </c>
    </row>
    <row r="2785" spans="1:5">
      <c r="A2785" s="1">
        <f>IF(C2785="","",COUNTA(C$4:C2785))</f>
        <v>2759</v>
      </c>
      <c r="B2785" s="1" t="s">
        <v>5337</v>
      </c>
      <c r="C2785" s="1" t="s">
        <v>5338</v>
      </c>
      <c r="E2785">
        <f t="shared" si="43"/>
        <v>0</v>
      </c>
    </row>
    <row r="2786" spans="1:5">
      <c r="A2786" s="1">
        <f>IF(C2786="","",COUNTA(C$4:C2786))</f>
        <v>2760</v>
      </c>
      <c r="B2786" s="1" t="s">
        <v>5339</v>
      </c>
      <c r="C2786" s="1" t="s">
        <v>5340</v>
      </c>
      <c r="E2786">
        <f t="shared" si="43"/>
        <v>0</v>
      </c>
    </row>
    <row r="2787" spans="1:5">
      <c r="A2787" s="1">
        <f>IF(C2787="","",COUNTA(C$4:C2787))</f>
        <v>2761</v>
      </c>
      <c r="B2787" s="1" t="s">
        <v>5341</v>
      </c>
      <c r="C2787" s="1" t="s">
        <v>5342</v>
      </c>
      <c r="E2787">
        <f t="shared" si="43"/>
        <v>0</v>
      </c>
    </row>
    <row r="2788" spans="1:5">
      <c r="A2788" s="1">
        <f>IF(C2788="","",COUNTA(C$4:C2788))</f>
        <v>2762</v>
      </c>
      <c r="B2788" s="1" t="s">
        <v>5343</v>
      </c>
      <c r="C2788" s="1" t="s">
        <v>5344</v>
      </c>
      <c r="E2788">
        <f t="shared" si="43"/>
        <v>0</v>
      </c>
    </row>
    <row r="2789" spans="1:5">
      <c r="A2789" s="1">
        <f>IF(C2789="","",COUNTA(C$4:C2789))</f>
        <v>2763</v>
      </c>
      <c r="B2789" s="1" t="s">
        <v>5345</v>
      </c>
      <c r="C2789" s="1" t="s">
        <v>5346</v>
      </c>
      <c r="E2789">
        <f t="shared" si="43"/>
        <v>0</v>
      </c>
    </row>
    <row r="2790" spans="1:5">
      <c r="A2790" s="1">
        <f>IF(C2790="","",COUNTA(C$4:C2790))</f>
        <v>2764</v>
      </c>
      <c r="B2790" s="1" t="s">
        <v>5347</v>
      </c>
      <c r="C2790" s="3" t="s">
        <v>5348</v>
      </c>
      <c r="E2790">
        <f t="shared" si="43"/>
        <v>0</v>
      </c>
    </row>
    <row r="2791" spans="1:5">
      <c r="A2791" s="1">
        <f>IF(C2791="","",COUNTA(C$4:C2791))</f>
        <v>2765</v>
      </c>
      <c r="B2791" s="1" t="s">
        <v>5349</v>
      </c>
      <c r="C2791" s="1" t="s">
        <v>5350</v>
      </c>
      <c r="E2791">
        <f t="shared" si="43"/>
        <v>0</v>
      </c>
    </row>
    <row r="2792" spans="1:5">
      <c r="A2792" s="1">
        <f>IF(C2792="","",COUNTA(C$4:C2792))</f>
        <v>2766</v>
      </c>
      <c r="B2792" s="1" t="s">
        <v>5351</v>
      </c>
      <c r="C2792" s="1" t="s">
        <v>2108</v>
      </c>
      <c r="E2792">
        <f t="shared" si="43"/>
        <v>0</v>
      </c>
    </row>
    <row r="2793" spans="1:5">
      <c r="A2793" s="1">
        <f>IF(C2793="","",COUNTA(C$4:C2793))</f>
        <v>2767</v>
      </c>
      <c r="B2793" s="1" t="s">
        <v>5352</v>
      </c>
      <c r="C2793" s="1" t="s">
        <v>5353</v>
      </c>
      <c r="E2793">
        <f t="shared" si="43"/>
        <v>0</v>
      </c>
    </row>
    <row r="2794" spans="1:5">
      <c r="A2794" s="1">
        <f>IF(C2794="","",COUNTA(C$4:C2794))</f>
        <v>2768</v>
      </c>
      <c r="B2794" s="1" t="s">
        <v>5354</v>
      </c>
      <c r="C2794" s="1" t="s">
        <v>5355</v>
      </c>
      <c r="E2794">
        <f t="shared" si="43"/>
        <v>0</v>
      </c>
    </row>
    <row r="2795" spans="1:5">
      <c r="A2795" s="1">
        <f>IF(C2795="","",COUNTA(C$4:C2795))</f>
        <v>2769</v>
      </c>
      <c r="B2795" s="1" t="s">
        <v>5356</v>
      </c>
      <c r="C2795" s="1" t="s">
        <v>5357</v>
      </c>
      <c r="E2795">
        <f t="shared" si="43"/>
        <v>0</v>
      </c>
    </row>
    <row r="2796" spans="1:5">
      <c r="A2796" s="1">
        <f>IF(C2796="","",COUNTA(C$4:C2796))</f>
        <v>2770</v>
      </c>
      <c r="B2796" s="1" t="s">
        <v>5358</v>
      </c>
      <c r="C2796" s="1" t="s">
        <v>5359</v>
      </c>
      <c r="E2796">
        <f t="shared" si="43"/>
        <v>0</v>
      </c>
    </row>
    <row r="2797" spans="1:5">
      <c r="A2797" s="1">
        <f>IF(C2797="","",COUNTA(C$4:C2797))</f>
        <v>2771</v>
      </c>
      <c r="B2797" s="1" t="s">
        <v>5360</v>
      </c>
      <c r="C2797" s="1" t="s">
        <v>5361</v>
      </c>
      <c r="E2797">
        <f t="shared" si="43"/>
        <v>0</v>
      </c>
    </row>
    <row r="2798" spans="1:5">
      <c r="A2798" s="1">
        <f>IF(C2798="","",COUNTA(C$4:C2798))</f>
        <v>2772</v>
      </c>
      <c r="B2798" s="1" t="s">
        <v>5362</v>
      </c>
      <c r="C2798" s="1" t="s">
        <v>5363</v>
      </c>
      <c r="E2798">
        <f t="shared" si="43"/>
        <v>0</v>
      </c>
    </row>
    <row r="2799" spans="1:5">
      <c r="A2799" s="1">
        <f>IF(C2799="","",COUNTA(C$4:C2799))</f>
        <v>2773</v>
      </c>
      <c r="B2799" s="1" t="s">
        <v>5364</v>
      </c>
      <c r="C2799" s="1" t="s">
        <v>5365</v>
      </c>
      <c r="E2799">
        <f t="shared" si="43"/>
        <v>0</v>
      </c>
    </row>
    <row r="2800" spans="1:5">
      <c r="A2800" s="1">
        <f>IF(C2800="","",COUNTA(C$4:C2800))</f>
        <v>2774</v>
      </c>
      <c r="B2800" s="1" t="s">
        <v>5366</v>
      </c>
      <c r="C2800" s="1" t="s">
        <v>5367</v>
      </c>
      <c r="E2800">
        <f t="shared" si="43"/>
        <v>0</v>
      </c>
    </row>
    <row r="2801" spans="1:5">
      <c r="A2801" s="1">
        <f>IF(C2801="","",COUNTA(C$4:C2801))</f>
        <v>2775</v>
      </c>
      <c r="B2801" s="1" t="s">
        <v>5368</v>
      </c>
      <c r="C2801" s="1" t="s">
        <v>5369</v>
      </c>
      <c r="E2801">
        <f t="shared" si="43"/>
        <v>0</v>
      </c>
    </row>
    <row r="2802" spans="1:5">
      <c r="A2802" s="1">
        <f>IF(C2802="","",COUNTA(C$4:C2802))</f>
        <v>2776</v>
      </c>
      <c r="B2802" s="1" t="s">
        <v>5370</v>
      </c>
      <c r="C2802" s="1" t="s">
        <v>5371</v>
      </c>
      <c r="E2802">
        <f t="shared" si="43"/>
        <v>0</v>
      </c>
    </row>
    <row r="2803" spans="1:5">
      <c r="A2803" s="1">
        <f>IF(C2803="","",COUNTA(C$4:C2803))</f>
        <v>2777</v>
      </c>
      <c r="B2803" s="1" t="s">
        <v>5372</v>
      </c>
      <c r="C2803" s="1" t="s">
        <v>5373</v>
      </c>
      <c r="E2803">
        <f t="shared" si="43"/>
        <v>0</v>
      </c>
    </row>
    <row r="2804" spans="1:5">
      <c r="A2804" s="1">
        <f>IF(C2804="","",COUNTA(C$4:C2804))</f>
        <v>2778</v>
      </c>
      <c r="B2804" s="1" t="s">
        <v>5374</v>
      </c>
      <c r="C2804" s="1" t="s">
        <v>5375</v>
      </c>
      <c r="E2804">
        <f t="shared" si="43"/>
        <v>0</v>
      </c>
    </row>
    <row r="2805" spans="1:5">
      <c r="A2805" s="1">
        <f>IF(C2805="","",COUNTA(C$4:C2805))</f>
        <v>2779</v>
      </c>
      <c r="B2805" s="1" t="s">
        <v>5376</v>
      </c>
      <c r="C2805" s="1" t="s">
        <v>5377</v>
      </c>
      <c r="E2805">
        <f t="shared" si="43"/>
        <v>0</v>
      </c>
    </row>
    <row r="2806" spans="1:5">
      <c r="A2806" s="1">
        <f>IF(C2806="","",COUNTA(C$4:C2806))</f>
        <v>2780</v>
      </c>
      <c r="B2806" s="1" t="s">
        <v>5378</v>
      </c>
      <c r="C2806" s="1" t="s">
        <v>5379</v>
      </c>
      <c r="E2806">
        <f t="shared" si="43"/>
        <v>0</v>
      </c>
    </row>
    <row r="2807" spans="1:5">
      <c r="A2807" s="1">
        <f>IF(C2807="","",COUNTA(C$4:C2807))</f>
        <v>2781</v>
      </c>
      <c r="B2807" s="1" t="s">
        <v>5380</v>
      </c>
      <c r="C2807" s="1" t="s">
        <v>5381</v>
      </c>
      <c r="E2807">
        <f t="shared" si="43"/>
        <v>0</v>
      </c>
    </row>
    <row r="2808" spans="1:5">
      <c r="A2808" s="1">
        <f>IF(C2808="","",COUNTA(C$4:C2808))</f>
        <v>2782</v>
      </c>
      <c r="B2808" s="1" t="s">
        <v>5382</v>
      </c>
      <c r="C2808" s="1" t="s">
        <v>5383</v>
      </c>
      <c r="E2808">
        <f t="shared" si="43"/>
        <v>0</v>
      </c>
    </row>
    <row r="2809" spans="1:5">
      <c r="A2809" s="1">
        <f>IF(C2809="","",COUNTA(C$4:C2809))</f>
        <v>2783</v>
      </c>
      <c r="B2809" s="1" t="s">
        <v>5384</v>
      </c>
      <c r="C2809" s="1" t="s">
        <v>5385</v>
      </c>
      <c r="E2809">
        <f t="shared" si="43"/>
        <v>0</v>
      </c>
    </row>
    <row r="2810" spans="1:5">
      <c r="A2810" s="1">
        <f>IF(C2810="","",COUNTA(C$4:C2810))</f>
        <v>2784</v>
      </c>
      <c r="B2810" s="1" t="s">
        <v>5386</v>
      </c>
      <c r="C2810" s="1" t="s">
        <v>5387</v>
      </c>
      <c r="E2810">
        <f t="shared" si="43"/>
        <v>0</v>
      </c>
    </row>
    <row r="2811" spans="1:5">
      <c r="A2811" s="1">
        <f>IF(C2811="","",COUNTA(C$4:C2811))</f>
        <v>2785</v>
      </c>
      <c r="B2811" s="1" t="s">
        <v>5388</v>
      </c>
      <c r="C2811" s="1" t="s">
        <v>5389</v>
      </c>
      <c r="E2811">
        <f t="shared" si="43"/>
        <v>0</v>
      </c>
    </row>
    <row r="2812" spans="1:5">
      <c r="A2812" s="1">
        <f>IF(C2812="","",COUNTA(C$4:C2812))</f>
        <v>2786</v>
      </c>
      <c r="B2812" s="1" t="s">
        <v>5390</v>
      </c>
      <c r="C2812" s="1" t="s">
        <v>5391</v>
      </c>
      <c r="E2812">
        <f t="shared" si="43"/>
        <v>0</v>
      </c>
    </row>
    <row r="2813" spans="1:5">
      <c r="A2813" s="1">
        <f>IF(C2813="","",COUNTA(C$4:C2813))</f>
        <v>2787</v>
      </c>
      <c r="B2813" s="1" t="s">
        <v>5392</v>
      </c>
      <c r="C2813" s="1" t="s">
        <v>5393</v>
      </c>
      <c r="E2813">
        <f t="shared" si="43"/>
        <v>0</v>
      </c>
    </row>
    <row r="2814" spans="1:5">
      <c r="A2814" s="1">
        <f>IF(C2814="","",COUNTA(C$4:C2814))</f>
        <v>2788</v>
      </c>
      <c r="B2814" s="1" t="s">
        <v>5394</v>
      </c>
      <c r="C2814" s="1" t="s">
        <v>5395</v>
      </c>
      <c r="E2814">
        <f t="shared" si="43"/>
        <v>0</v>
      </c>
    </row>
    <row r="2815" spans="1:5">
      <c r="A2815" s="1">
        <f>IF(C2815="","",COUNTA(C$4:C2815))</f>
        <v>2789</v>
      </c>
      <c r="B2815" s="1" t="s">
        <v>5396</v>
      </c>
      <c r="C2815" s="1" t="s">
        <v>5397</v>
      </c>
      <c r="E2815">
        <f t="shared" si="43"/>
        <v>0</v>
      </c>
    </row>
    <row r="2816" spans="1:5">
      <c r="A2816" s="1">
        <f>IF(C2816="","",COUNTA(C$4:C2816))</f>
        <v>2790</v>
      </c>
      <c r="B2816" s="1" t="s">
        <v>5398</v>
      </c>
      <c r="C2816" s="1" t="s">
        <v>5399</v>
      </c>
      <c r="E2816">
        <f t="shared" si="43"/>
        <v>0</v>
      </c>
    </row>
    <row r="2817" spans="1:5">
      <c r="A2817" s="1">
        <f>IF(C2817="","",COUNTA(C$4:C2817))</f>
        <v>2791</v>
      </c>
      <c r="B2817" s="1" t="s">
        <v>5400</v>
      </c>
      <c r="C2817" s="1" t="s">
        <v>5401</v>
      </c>
      <c r="E2817">
        <f t="shared" si="43"/>
        <v>0</v>
      </c>
    </row>
    <row r="2818" spans="1:5">
      <c r="A2818" s="1">
        <f>IF(C2818="","",COUNTA(C$4:C2818))</f>
        <v>2792</v>
      </c>
      <c r="B2818" s="1" t="s">
        <v>5402</v>
      </c>
      <c r="C2818" s="1" t="s">
        <v>5403</v>
      </c>
      <c r="E2818">
        <f t="shared" si="43"/>
        <v>0</v>
      </c>
    </row>
    <row r="2819" spans="1:5">
      <c r="A2819" s="1">
        <f>IF(C2819="","",COUNTA(C$4:C2819))</f>
        <v>2793</v>
      </c>
      <c r="B2819" s="1" t="s">
        <v>5404</v>
      </c>
      <c r="C2819" s="1" t="s">
        <v>5405</v>
      </c>
      <c r="E2819">
        <f t="shared" si="43"/>
        <v>0</v>
      </c>
    </row>
    <row r="2820" spans="1:5">
      <c r="A2820" s="1">
        <f>IF(C2820="","",COUNTA(C$4:C2820))</f>
        <v>2794</v>
      </c>
      <c r="B2820" s="1" t="s">
        <v>5406</v>
      </c>
      <c r="C2820" s="1" t="s">
        <v>5407</v>
      </c>
      <c r="E2820">
        <f t="shared" si="43"/>
        <v>0</v>
      </c>
    </row>
    <row r="2821" spans="1:5">
      <c r="A2821" s="1">
        <f>IF(C2821="","",COUNTA(C$4:C2821))</f>
        <v>2795</v>
      </c>
      <c r="B2821" s="1" t="s">
        <v>5408</v>
      </c>
      <c r="C2821" s="1" t="s">
        <v>5409</v>
      </c>
      <c r="E2821">
        <f t="shared" ref="E2821:E2884" si="44">IF(C2821=D2821,1,0)</f>
        <v>0</v>
      </c>
    </row>
    <row r="2822" spans="1:5">
      <c r="A2822" s="1">
        <f>IF(C2822="","",COUNTA(C$4:C2822))</f>
        <v>2796</v>
      </c>
      <c r="B2822" s="1" t="s">
        <v>5410</v>
      </c>
      <c r="C2822" s="1" t="s">
        <v>5411</v>
      </c>
      <c r="E2822">
        <f t="shared" si="44"/>
        <v>0</v>
      </c>
    </row>
    <row r="2823" spans="1:5">
      <c r="A2823" s="1">
        <f>IF(C2823="","",COUNTA(C$4:C2823))</f>
        <v>2797</v>
      </c>
      <c r="B2823" s="1" t="s">
        <v>5412</v>
      </c>
      <c r="C2823" s="1" t="s">
        <v>5413</v>
      </c>
      <c r="E2823">
        <f t="shared" si="44"/>
        <v>0</v>
      </c>
    </row>
    <row r="2824" spans="1:5">
      <c r="A2824" s="1">
        <f>IF(C2824="","",COUNTA(C$4:C2824))</f>
        <v>2798</v>
      </c>
      <c r="B2824" s="1" t="s">
        <v>3099</v>
      </c>
      <c r="C2824" s="1" t="s">
        <v>5414</v>
      </c>
      <c r="E2824">
        <f t="shared" si="44"/>
        <v>0</v>
      </c>
    </row>
    <row r="2825" spans="1:5">
      <c r="A2825" s="1">
        <f>IF(C2825="","",COUNTA(C$4:C2825))</f>
        <v>2799</v>
      </c>
      <c r="B2825" s="1" t="s">
        <v>3099</v>
      </c>
      <c r="C2825" s="3" t="s">
        <v>5415</v>
      </c>
      <c r="E2825">
        <f t="shared" si="44"/>
        <v>0</v>
      </c>
    </row>
    <row r="2826" spans="1:5">
      <c r="A2826" s="1">
        <f>IF(C2826="","",COUNTA(C$4:C2826))</f>
        <v>2800</v>
      </c>
      <c r="B2826" s="1" t="s">
        <v>5416</v>
      </c>
      <c r="C2826" s="1" t="s">
        <v>5417</v>
      </c>
      <c r="E2826">
        <f t="shared" si="44"/>
        <v>0</v>
      </c>
    </row>
    <row r="2827" spans="1:5">
      <c r="A2827" s="1">
        <f>IF(C2827="","",COUNTA(C$4:C2827))</f>
        <v>2801</v>
      </c>
      <c r="B2827" s="1" t="s">
        <v>5418</v>
      </c>
      <c r="C2827" s="1" t="s">
        <v>5419</v>
      </c>
      <c r="E2827">
        <f t="shared" si="44"/>
        <v>0</v>
      </c>
    </row>
    <row r="2828" spans="1:5">
      <c r="A2828" s="1">
        <f>IF(C2828="","",COUNTA(C$4:C2828))</f>
        <v>2802</v>
      </c>
      <c r="B2828" s="1" t="s">
        <v>5420</v>
      </c>
      <c r="C2828" s="1" t="s">
        <v>5421</v>
      </c>
      <c r="E2828">
        <f t="shared" si="44"/>
        <v>0</v>
      </c>
    </row>
    <row r="2829" spans="1:5">
      <c r="A2829" s="1">
        <f>IF(C2829="","",COUNTA(C$4:C2829))</f>
        <v>2803</v>
      </c>
      <c r="B2829" s="1" t="s">
        <v>5422</v>
      </c>
      <c r="C2829" s="1" t="s">
        <v>5423</v>
      </c>
      <c r="E2829">
        <f t="shared" si="44"/>
        <v>0</v>
      </c>
    </row>
    <row r="2830" spans="1:5">
      <c r="A2830" s="1">
        <f>IF(C2830="","",COUNTA(C$4:C2830))</f>
        <v>2804</v>
      </c>
      <c r="B2830" s="1" t="s">
        <v>5424</v>
      </c>
      <c r="C2830" s="1" t="s">
        <v>5425</v>
      </c>
      <c r="E2830">
        <f t="shared" si="44"/>
        <v>0</v>
      </c>
    </row>
    <row r="2831" spans="1:5">
      <c r="A2831" s="1">
        <f>IF(C2831="","",COUNTA(C$4:C2831))</f>
        <v>2805</v>
      </c>
      <c r="B2831" s="1" t="s">
        <v>5426</v>
      </c>
      <c r="C2831" s="1" t="s">
        <v>5427</v>
      </c>
      <c r="E2831">
        <f t="shared" si="44"/>
        <v>0</v>
      </c>
    </row>
    <row r="2832" spans="1:5">
      <c r="A2832" s="1">
        <f>IF(C2832="","",COUNTA(C$4:C2832))</f>
        <v>2806</v>
      </c>
      <c r="B2832" s="1" t="s">
        <v>5428</v>
      </c>
      <c r="C2832" s="1" t="s">
        <v>5429</v>
      </c>
      <c r="E2832">
        <f t="shared" si="44"/>
        <v>0</v>
      </c>
    </row>
    <row r="2833" spans="1:5">
      <c r="A2833" s="1">
        <f>IF(C2833="","",COUNTA(C$4:C2833))</f>
        <v>2807</v>
      </c>
      <c r="B2833" s="1" t="s">
        <v>5430</v>
      </c>
      <c r="C2833" s="1" t="s">
        <v>5431</v>
      </c>
      <c r="E2833">
        <f t="shared" si="44"/>
        <v>0</v>
      </c>
    </row>
    <row r="2834" spans="1:5">
      <c r="A2834" s="1">
        <f>IF(C2834="","",COUNTA(C$4:C2834))</f>
        <v>2808</v>
      </c>
      <c r="B2834" s="1" t="s">
        <v>5432</v>
      </c>
      <c r="C2834" s="1" t="s">
        <v>5433</v>
      </c>
      <c r="E2834">
        <f t="shared" si="44"/>
        <v>0</v>
      </c>
    </row>
    <row r="2835" spans="1:5">
      <c r="A2835" s="1">
        <f>IF(C2835="","",COUNTA(C$4:C2835))</f>
        <v>2809</v>
      </c>
      <c r="B2835" s="1" t="s">
        <v>5434</v>
      </c>
      <c r="C2835" s="1" t="s">
        <v>5435</v>
      </c>
      <c r="E2835">
        <f t="shared" si="44"/>
        <v>0</v>
      </c>
    </row>
    <row r="2836" spans="1:5">
      <c r="A2836" s="1">
        <f>IF(C2836="","",COUNTA(C$4:C2836))</f>
        <v>2810</v>
      </c>
      <c r="B2836" s="1" t="s">
        <v>5436</v>
      </c>
      <c r="C2836" s="1" t="s">
        <v>5437</v>
      </c>
      <c r="E2836">
        <f t="shared" si="44"/>
        <v>0</v>
      </c>
    </row>
    <row r="2837" spans="1:5">
      <c r="A2837" s="1">
        <f>IF(C2837="","",COUNTA(C$4:C2837))</f>
        <v>2811</v>
      </c>
      <c r="B2837" s="1" t="s">
        <v>5438</v>
      </c>
      <c r="C2837" s="1" t="s">
        <v>5439</v>
      </c>
      <c r="E2837">
        <f t="shared" si="44"/>
        <v>0</v>
      </c>
    </row>
    <row r="2838" spans="1:5">
      <c r="A2838" s="1">
        <f>IF(C2838="","",COUNTA(C$4:C2838))</f>
        <v>2812</v>
      </c>
      <c r="B2838" s="1" t="s">
        <v>5440</v>
      </c>
      <c r="C2838" s="1" t="s">
        <v>5441</v>
      </c>
      <c r="E2838">
        <f t="shared" si="44"/>
        <v>0</v>
      </c>
    </row>
    <row r="2839" spans="1:5">
      <c r="A2839" s="1">
        <f>IF(C2839="","",COUNTA(C$4:C2839))</f>
        <v>2813</v>
      </c>
      <c r="B2839" s="1" t="s">
        <v>5442</v>
      </c>
      <c r="C2839" s="1" t="s">
        <v>5443</v>
      </c>
      <c r="E2839">
        <f t="shared" si="44"/>
        <v>0</v>
      </c>
    </row>
    <row r="2840" spans="1:5">
      <c r="A2840" s="1">
        <f>IF(C2840="","",COUNTA(C$4:C2840))</f>
        <v>2814</v>
      </c>
      <c r="B2840" s="1" t="s">
        <v>5444</v>
      </c>
      <c r="C2840" s="1" t="s">
        <v>5445</v>
      </c>
      <c r="E2840">
        <f t="shared" si="44"/>
        <v>0</v>
      </c>
    </row>
    <row r="2841" spans="1:5">
      <c r="A2841" s="1">
        <f>IF(C2841="","",COUNTA(C$4:C2841))</f>
        <v>2815</v>
      </c>
      <c r="B2841" s="1" t="s">
        <v>5446</v>
      </c>
      <c r="C2841" s="1" t="s">
        <v>5447</v>
      </c>
      <c r="E2841">
        <f t="shared" si="44"/>
        <v>0</v>
      </c>
    </row>
    <row r="2842" spans="1:5">
      <c r="A2842" s="12" t="s">
        <v>5448</v>
      </c>
      <c r="B2842" s="13"/>
      <c r="C2842" s="14"/>
      <c r="D2842" s="9"/>
      <c r="E2842">
        <f t="shared" si="44"/>
        <v>1</v>
      </c>
    </row>
    <row r="2843" spans="1:5">
      <c r="A2843" s="1">
        <f>IF(C2843="","",COUNTA(C$4:C2843))</f>
        <v>2816</v>
      </c>
      <c r="B2843" s="1" t="s">
        <v>5449</v>
      </c>
      <c r="C2843" s="1" t="s">
        <v>5450</v>
      </c>
      <c r="D2843" s="9"/>
      <c r="E2843">
        <f t="shared" si="44"/>
        <v>0</v>
      </c>
    </row>
    <row r="2844" spans="1:5">
      <c r="A2844" s="1">
        <f>IF(C2844="","",COUNTA(C$4:C2844))</f>
        <v>2817</v>
      </c>
      <c r="B2844" s="1" t="s">
        <v>5451</v>
      </c>
      <c r="C2844" s="1" t="s">
        <v>5452</v>
      </c>
      <c r="E2844">
        <f t="shared" si="44"/>
        <v>0</v>
      </c>
    </row>
    <row r="2845" spans="1:5">
      <c r="A2845" s="1">
        <f>IF(C2845="","",COUNTA(C$4:C2845))</f>
        <v>2818</v>
      </c>
      <c r="B2845" s="1" t="s">
        <v>5453</v>
      </c>
      <c r="C2845" s="1" t="s">
        <v>2201</v>
      </c>
      <c r="E2845">
        <f t="shared" si="44"/>
        <v>0</v>
      </c>
    </row>
    <row r="2846" spans="1:5">
      <c r="A2846" s="1">
        <f>IF(C2846="","",COUNTA(C$4:C2846))</f>
        <v>2819</v>
      </c>
      <c r="B2846" s="1" t="s">
        <v>5454</v>
      </c>
      <c r="C2846" s="1" t="s">
        <v>5455</v>
      </c>
      <c r="E2846">
        <f t="shared" si="44"/>
        <v>0</v>
      </c>
    </row>
    <row r="2847" spans="1:5">
      <c r="A2847" s="1">
        <f>IF(C2847="","",COUNTA(C$4:C2847))</f>
        <v>2820</v>
      </c>
      <c r="B2847" s="1" t="s">
        <v>5456</v>
      </c>
      <c r="C2847" s="1" t="s">
        <v>5457</v>
      </c>
      <c r="E2847">
        <f t="shared" si="44"/>
        <v>0</v>
      </c>
    </row>
    <row r="2848" spans="1:5">
      <c r="A2848" s="1">
        <f>IF(C2848="","",COUNTA(C$4:C2848))</f>
        <v>2821</v>
      </c>
      <c r="B2848" s="1" t="s">
        <v>5458</v>
      </c>
      <c r="C2848" s="1" t="s">
        <v>5459</v>
      </c>
      <c r="E2848">
        <f t="shared" si="44"/>
        <v>0</v>
      </c>
    </row>
    <row r="2849" spans="1:5">
      <c r="A2849" s="1">
        <f>IF(C2849="","",COUNTA(C$4:C2849))</f>
        <v>2822</v>
      </c>
      <c r="B2849" s="1" t="s">
        <v>5460</v>
      </c>
      <c r="C2849" s="1" t="s">
        <v>5461</v>
      </c>
      <c r="E2849">
        <f t="shared" si="44"/>
        <v>0</v>
      </c>
    </row>
    <row r="2850" spans="1:5">
      <c r="A2850" s="1">
        <f>IF(C2850="","",COUNTA(C$4:C2850))</f>
        <v>2823</v>
      </c>
      <c r="B2850" s="1" t="s">
        <v>5462</v>
      </c>
      <c r="C2850" s="1" t="s">
        <v>5463</v>
      </c>
      <c r="E2850">
        <f t="shared" si="44"/>
        <v>0</v>
      </c>
    </row>
    <row r="2851" spans="1:5">
      <c r="A2851" s="1">
        <f>IF(C2851="","",COUNTA(C$4:C2851))</f>
        <v>2824</v>
      </c>
      <c r="B2851" s="1" t="s">
        <v>5464</v>
      </c>
      <c r="C2851" s="1" t="s">
        <v>5465</v>
      </c>
      <c r="E2851">
        <f t="shared" si="44"/>
        <v>0</v>
      </c>
    </row>
    <row r="2852" spans="1:5">
      <c r="A2852" s="1">
        <f>IF(C2852="","",COUNTA(C$4:C2852))</f>
        <v>2825</v>
      </c>
      <c r="B2852" s="1" t="s">
        <v>5466</v>
      </c>
      <c r="C2852" s="1" t="s">
        <v>5467</v>
      </c>
      <c r="E2852">
        <f t="shared" si="44"/>
        <v>0</v>
      </c>
    </row>
    <row r="2853" spans="1:5">
      <c r="A2853" s="1">
        <f>IF(C2853="","",COUNTA(C$4:C2853))</f>
        <v>2826</v>
      </c>
      <c r="B2853" s="1" t="s">
        <v>5468</v>
      </c>
      <c r="C2853" s="1" t="s">
        <v>5469</v>
      </c>
      <c r="E2853">
        <f t="shared" si="44"/>
        <v>0</v>
      </c>
    </row>
    <row r="2854" spans="1:5">
      <c r="A2854" s="1">
        <f>IF(C2854="","",COUNTA(C$4:C2854))</f>
        <v>2827</v>
      </c>
      <c r="B2854" s="1" t="s">
        <v>5470</v>
      </c>
      <c r="C2854" s="1" t="s">
        <v>5471</v>
      </c>
      <c r="E2854">
        <f t="shared" si="44"/>
        <v>0</v>
      </c>
    </row>
    <row r="2855" spans="1:5">
      <c r="A2855" s="1">
        <f>IF(C2855="","",COUNTA(C$4:C2855))</f>
        <v>2828</v>
      </c>
      <c r="B2855" s="1" t="s">
        <v>5472</v>
      </c>
      <c r="C2855" s="1" t="s">
        <v>5473</v>
      </c>
      <c r="E2855">
        <f t="shared" si="44"/>
        <v>0</v>
      </c>
    </row>
    <row r="2856" spans="1:5">
      <c r="A2856" s="1">
        <f>IF(C2856="","",COUNTA(C$4:C2856))</f>
        <v>2829</v>
      </c>
      <c r="B2856" s="1" t="s">
        <v>5474</v>
      </c>
      <c r="C2856" s="1" t="s">
        <v>5475</v>
      </c>
      <c r="E2856">
        <f t="shared" si="44"/>
        <v>0</v>
      </c>
    </row>
    <row r="2857" spans="1:5">
      <c r="A2857" s="1">
        <f>IF(C2857="","",COUNTA(C$4:C2857))</f>
        <v>2830</v>
      </c>
      <c r="B2857" s="1" t="s">
        <v>5476</v>
      </c>
      <c r="C2857" s="1" t="s">
        <v>5477</v>
      </c>
      <c r="E2857">
        <f t="shared" si="44"/>
        <v>0</v>
      </c>
    </row>
    <row r="2858" spans="1:5">
      <c r="A2858" s="1">
        <f>IF(C2858="","",COUNTA(C$4:C2858))</f>
        <v>2831</v>
      </c>
      <c r="B2858" s="1" t="s">
        <v>5478</v>
      </c>
      <c r="C2858" s="1" t="s">
        <v>5479</v>
      </c>
      <c r="E2858">
        <f t="shared" si="44"/>
        <v>0</v>
      </c>
    </row>
    <row r="2859" spans="1:5">
      <c r="A2859" s="1">
        <f>IF(C2859="","",COUNTA(C$4:C2859))</f>
        <v>2832</v>
      </c>
      <c r="B2859" s="1" t="s">
        <v>2894</v>
      </c>
      <c r="C2859" s="1" t="s">
        <v>5480</v>
      </c>
      <c r="E2859">
        <f t="shared" si="44"/>
        <v>0</v>
      </c>
    </row>
    <row r="2860" spans="1:5">
      <c r="A2860" s="1">
        <f>IF(C2860="","",COUNTA(C$4:C2860))</f>
        <v>2833</v>
      </c>
      <c r="B2860" s="1" t="s">
        <v>5481</v>
      </c>
      <c r="C2860" s="1" t="s">
        <v>5482</v>
      </c>
      <c r="E2860">
        <f t="shared" si="44"/>
        <v>0</v>
      </c>
    </row>
    <row r="2861" spans="1:5">
      <c r="A2861" s="1">
        <f>IF(C2861="","",COUNTA(C$4:C2861))</f>
        <v>2834</v>
      </c>
      <c r="B2861" s="1" t="s">
        <v>5483</v>
      </c>
      <c r="C2861" s="1" t="s">
        <v>2207</v>
      </c>
      <c r="E2861">
        <f t="shared" si="44"/>
        <v>0</v>
      </c>
    </row>
    <row r="2862" spans="1:5">
      <c r="A2862" s="1">
        <f>IF(C2862="","",COUNTA(C$4:C2862))</f>
        <v>2835</v>
      </c>
      <c r="B2862" s="1" t="s">
        <v>5484</v>
      </c>
      <c r="C2862" s="1" t="s">
        <v>5485</v>
      </c>
      <c r="E2862">
        <f t="shared" si="44"/>
        <v>0</v>
      </c>
    </row>
    <row r="2863" spans="1:5">
      <c r="A2863" s="1">
        <f>IF(C2863="","",COUNTA(C$4:C2863))</f>
        <v>2836</v>
      </c>
      <c r="B2863" s="1" t="s">
        <v>5486</v>
      </c>
      <c r="C2863" s="1" t="s">
        <v>5487</v>
      </c>
      <c r="E2863">
        <f t="shared" si="44"/>
        <v>0</v>
      </c>
    </row>
    <row r="2864" spans="1:5">
      <c r="A2864" s="1">
        <f>IF(C2864="","",COUNTA(C$4:C2864))</f>
        <v>2837</v>
      </c>
      <c r="B2864" s="1" t="s">
        <v>5488</v>
      </c>
      <c r="C2864" s="1" t="s">
        <v>5489</v>
      </c>
      <c r="E2864">
        <f t="shared" si="44"/>
        <v>0</v>
      </c>
    </row>
    <row r="2865" spans="1:5">
      <c r="A2865" s="1">
        <f>IF(C2865="","",COUNTA(C$4:C2865))</f>
        <v>2838</v>
      </c>
      <c r="B2865" s="1" t="s">
        <v>5490</v>
      </c>
      <c r="C2865" s="1" t="s">
        <v>5491</v>
      </c>
      <c r="E2865">
        <f t="shared" si="44"/>
        <v>0</v>
      </c>
    </row>
    <row r="2866" spans="1:5">
      <c r="A2866" s="1">
        <f>IF(C2866="","",COUNTA(C$4:C2866))</f>
        <v>2839</v>
      </c>
      <c r="B2866" s="1" t="s">
        <v>5492</v>
      </c>
      <c r="C2866" s="1" t="s">
        <v>5493</v>
      </c>
      <c r="E2866">
        <f t="shared" si="44"/>
        <v>0</v>
      </c>
    </row>
    <row r="2867" spans="1:5">
      <c r="A2867" s="1">
        <f>IF(C2867="","",COUNTA(C$4:C2867))</f>
        <v>2840</v>
      </c>
      <c r="B2867" s="1" t="s">
        <v>5494</v>
      </c>
      <c r="C2867" s="1" t="s">
        <v>5495</v>
      </c>
      <c r="E2867">
        <f t="shared" si="44"/>
        <v>0</v>
      </c>
    </row>
    <row r="2868" spans="1:5">
      <c r="A2868" s="1">
        <f>IF(C2868="","",COUNTA(C$4:C2868))</f>
        <v>2841</v>
      </c>
      <c r="B2868" s="1" t="s">
        <v>5496</v>
      </c>
      <c r="C2868" s="1" t="s">
        <v>5497</v>
      </c>
      <c r="E2868">
        <f t="shared" si="44"/>
        <v>0</v>
      </c>
    </row>
    <row r="2869" spans="1:5">
      <c r="A2869" s="1">
        <f>IF(C2869="","",COUNTA(C$4:C2869))</f>
        <v>2842</v>
      </c>
      <c r="B2869" s="1" t="s">
        <v>5498</v>
      </c>
      <c r="C2869" s="1" t="s">
        <v>5499</v>
      </c>
      <c r="E2869">
        <f t="shared" si="44"/>
        <v>0</v>
      </c>
    </row>
    <row r="2870" spans="1:5">
      <c r="A2870" s="1">
        <f>IF(C2870="","",COUNTA(C$4:C2870))</f>
        <v>2843</v>
      </c>
      <c r="B2870" s="1" t="s">
        <v>5500</v>
      </c>
      <c r="C2870" s="1" t="s">
        <v>5501</v>
      </c>
      <c r="E2870">
        <f t="shared" si="44"/>
        <v>0</v>
      </c>
    </row>
    <row r="2871" spans="1:5">
      <c r="A2871" s="1">
        <f>IF(C2871="","",COUNTA(C$4:C2871))</f>
        <v>2844</v>
      </c>
      <c r="B2871" s="1" t="s">
        <v>5502</v>
      </c>
      <c r="C2871" s="1" t="s">
        <v>2367</v>
      </c>
      <c r="E2871">
        <f t="shared" si="44"/>
        <v>0</v>
      </c>
    </row>
    <row r="2872" spans="1:5">
      <c r="A2872" s="1">
        <f>IF(C2872="","",COUNTA(C$4:C2872))</f>
        <v>2845</v>
      </c>
      <c r="B2872" s="1" t="s">
        <v>5503</v>
      </c>
      <c r="C2872" s="1" t="s">
        <v>2843</v>
      </c>
      <c r="E2872">
        <f t="shared" si="44"/>
        <v>0</v>
      </c>
    </row>
    <row r="2873" spans="1:5">
      <c r="A2873" s="1">
        <f>IF(C2873="","",COUNTA(C$4:C2873))</f>
        <v>2846</v>
      </c>
      <c r="B2873" s="1" t="s">
        <v>5504</v>
      </c>
      <c r="C2873" s="1" t="s">
        <v>5505</v>
      </c>
      <c r="E2873">
        <f t="shared" si="44"/>
        <v>0</v>
      </c>
    </row>
    <row r="2874" spans="1:5">
      <c r="A2874" s="1">
        <f>IF(C2874="","",COUNTA(C$4:C2874))</f>
        <v>2847</v>
      </c>
      <c r="B2874" s="1" t="s">
        <v>5506</v>
      </c>
      <c r="C2874" s="1" t="s">
        <v>5507</v>
      </c>
      <c r="E2874">
        <f t="shared" si="44"/>
        <v>0</v>
      </c>
    </row>
    <row r="2875" spans="1:5">
      <c r="A2875" s="1">
        <f>IF(C2875="","",COUNTA(C$4:C2875))</f>
        <v>2848</v>
      </c>
      <c r="B2875" s="1" t="s">
        <v>5508</v>
      </c>
      <c r="C2875" s="1" t="s">
        <v>5509</v>
      </c>
      <c r="E2875">
        <f t="shared" si="44"/>
        <v>0</v>
      </c>
    </row>
    <row r="2876" spans="1:5">
      <c r="A2876" s="1">
        <f>IF(C2876="","",COUNTA(C$4:C2876))</f>
        <v>2849</v>
      </c>
      <c r="B2876" s="1" t="s">
        <v>5510</v>
      </c>
      <c r="C2876" s="1" t="s">
        <v>5511</v>
      </c>
      <c r="E2876">
        <f t="shared" si="44"/>
        <v>0</v>
      </c>
    </row>
    <row r="2877" spans="1:5">
      <c r="A2877" s="1">
        <f>IF(C2877="","",COUNTA(C$4:C2877))</f>
        <v>2850</v>
      </c>
      <c r="B2877" s="1" t="s">
        <v>5512</v>
      </c>
      <c r="C2877" s="1" t="s">
        <v>5513</v>
      </c>
      <c r="E2877">
        <f t="shared" si="44"/>
        <v>0</v>
      </c>
    </row>
    <row r="2878" spans="1:5">
      <c r="A2878" s="1">
        <f>IF(C2878="","",COUNTA(C$4:C2878))</f>
        <v>2851</v>
      </c>
      <c r="B2878" s="1" t="s">
        <v>5514</v>
      </c>
      <c r="C2878" s="1" t="s">
        <v>2231</v>
      </c>
      <c r="E2878">
        <f t="shared" si="44"/>
        <v>0</v>
      </c>
    </row>
    <row r="2879" spans="1:5">
      <c r="A2879" s="1">
        <f>IF(C2879="","",COUNTA(C$4:C2879))</f>
        <v>2852</v>
      </c>
      <c r="B2879" s="1" t="s">
        <v>5515</v>
      </c>
      <c r="C2879" s="1" t="s">
        <v>5516</v>
      </c>
      <c r="E2879">
        <f t="shared" si="44"/>
        <v>0</v>
      </c>
    </row>
    <row r="2880" spans="1:5">
      <c r="A2880" s="1">
        <f>IF(C2880="","",COUNTA(C$4:C2880))</f>
        <v>2853</v>
      </c>
      <c r="B2880" s="1" t="s">
        <v>5517</v>
      </c>
      <c r="C2880" s="1" t="s">
        <v>5518</v>
      </c>
      <c r="E2880">
        <f t="shared" si="44"/>
        <v>0</v>
      </c>
    </row>
    <row r="2881" spans="1:5">
      <c r="A2881" s="1">
        <f>IF(C2881="","",COUNTA(C$4:C2881))</f>
        <v>2854</v>
      </c>
      <c r="B2881" s="1" t="s">
        <v>5519</v>
      </c>
      <c r="C2881" s="1" t="s">
        <v>5520</v>
      </c>
      <c r="E2881">
        <f t="shared" si="44"/>
        <v>0</v>
      </c>
    </row>
    <row r="2882" spans="1:5">
      <c r="A2882" s="1">
        <f>IF(C2882="","",COUNTA(C$4:C2882))</f>
        <v>2855</v>
      </c>
      <c r="B2882" s="1" t="s">
        <v>5521</v>
      </c>
      <c r="C2882" s="1" t="s">
        <v>5522</v>
      </c>
      <c r="E2882">
        <f t="shared" si="44"/>
        <v>0</v>
      </c>
    </row>
    <row r="2883" spans="1:5">
      <c r="A2883" s="1">
        <f>IF(C2883="","",COUNTA(C$4:C2883))</f>
        <v>2856</v>
      </c>
      <c r="B2883" s="1" t="s">
        <v>5523</v>
      </c>
      <c r="C2883" s="1" t="s">
        <v>5524</v>
      </c>
      <c r="E2883">
        <f t="shared" si="44"/>
        <v>0</v>
      </c>
    </row>
    <row r="2884" spans="1:5">
      <c r="A2884" s="1">
        <f>IF(C2884="","",COUNTA(C$4:C2884))</f>
        <v>2857</v>
      </c>
      <c r="B2884" s="1" t="s">
        <v>5525</v>
      </c>
      <c r="C2884" s="1" t="s">
        <v>5526</v>
      </c>
      <c r="E2884">
        <f t="shared" si="44"/>
        <v>0</v>
      </c>
    </row>
    <row r="2885" spans="1:5">
      <c r="A2885" s="1">
        <f>IF(C2885="","",COUNTA(C$4:C2885))</f>
        <v>2858</v>
      </c>
      <c r="B2885" s="1" t="s">
        <v>5527</v>
      </c>
      <c r="C2885" s="1" t="s">
        <v>5528</v>
      </c>
      <c r="E2885">
        <f t="shared" ref="E2885:E2948" si="45">IF(C2885=D2885,1,0)</f>
        <v>0</v>
      </c>
    </row>
    <row r="2886" spans="1:5">
      <c r="A2886" s="1">
        <f>IF(C2886="","",COUNTA(C$4:C2886))</f>
        <v>2859</v>
      </c>
      <c r="B2886" s="1" t="s">
        <v>5529</v>
      </c>
      <c r="C2886" s="1" t="s">
        <v>5530</v>
      </c>
      <c r="E2886">
        <f t="shared" si="45"/>
        <v>0</v>
      </c>
    </row>
    <row r="2887" spans="1:5">
      <c r="A2887" s="1">
        <f>IF(C2887="","",COUNTA(C$4:C2887))</f>
        <v>2860</v>
      </c>
      <c r="B2887" s="1" t="s">
        <v>5531</v>
      </c>
      <c r="C2887" s="1" t="s">
        <v>5532</v>
      </c>
      <c r="E2887">
        <f t="shared" si="45"/>
        <v>0</v>
      </c>
    </row>
    <row r="2888" spans="1:5">
      <c r="A2888" s="1">
        <f>IF(C2888="","",COUNTA(C$4:C2888))</f>
        <v>2861</v>
      </c>
      <c r="B2888" s="1" t="s">
        <v>5533</v>
      </c>
      <c r="C2888" s="1" t="s">
        <v>5534</v>
      </c>
      <c r="E2888">
        <f t="shared" si="45"/>
        <v>0</v>
      </c>
    </row>
    <row r="2889" spans="1:5">
      <c r="A2889" s="1">
        <f>IF(C2889="","",COUNTA(C$4:C2889))</f>
        <v>2862</v>
      </c>
      <c r="B2889" s="1" t="s">
        <v>5535</v>
      </c>
      <c r="C2889" s="1" t="s">
        <v>5536</v>
      </c>
      <c r="E2889">
        <f t="shared" si="45"/>
        <v>0</v>
      </c>
    </row>
    <row r="2890" spans="1:5">
      <c r="A2890" s="1">
        <f>IF(C2890="","",COUNTA(C$4:C2890))</f>
        <v>2863</v>
      </c>
      <c r="B2890" s="1" t="s">
        <v>5537</v>
      </c>
      <c r="C2890" s="1" t="s">
        <v>5538</v>
      </c>
      <c r="E2890">
        <f t="shared" si="45"/>
        <v>0</v>
      </c>
    </row>
    <row r="2891" spans="1:5">
      <c r="A2891" s="1">
        <f>IF(C2891="","",COUNTA(C$4:C2891))</f>
        <v>2864</v>
      </c>
      <c r="B2891" s="1" t="s">
        <v>5539</v>
      </c>
      <c r="C2891" s="1" t="s">
        <v>5540</v>
      </c>
      <c r="E2891">
        <f t="shared" si="45"/>
        <v>0</v>
      </c>
    </row>
    <row r="2892" spans="1:5">
      <c r="A2892" s="1">
        <f>IF(C2892="","",COUNTA(C$4:C2892))</f>
        <v>2865</v>
      </c>
      <c r="B2892" s="1" t="s">
        <v>5541</v>
      </c>
      <c r="C2892" s="1" t="s">
        <v>5542</v>
      </c>
      <c r="E2892">
        <f t="shared" si="45"/>
        <v>0</v>
      </c>
    </row>
    <row r="2893" spans="1:5">
      <c r="A2893" s="1">
        <f>IF(C2893="","",COUNTA(C$4:C2893))</f>
        <v>2866</v>
      </c>
      <c r="B2893" s="1" t="s">
        <v>5543</v>
      </c>
      <c r="C2893" s="1" t="s">
        <v>5544</v>
      </c>
      <c r="E2893">
        <f t="shared" si="45"/>
        <v>0</v>
      </c>
    </row>
    <row r="2894" spans="1:5">
      <c r="A2894" s="1">
        <f>IF(C2894="","",COUNTA(C$4:C2894))</f>
        <v>2867</v>
      </c>
      <c r="B2894" s="1" t="s">
        <v>3213</v>
      </c>
      <c r="C2894" s="1" t="s">
        <v>5545</v>
      </c>
      <c r="E2894">
        <f t="shared" si="45"/>
        <v>0</v>
      </c>
    </row>
    <row r="2895" spans="1:5">
      <c r="A2895" s="1">
        <f>IF(C2895="","",COUNTA(C$4:C2895))</f>
        <v>2868</v>
      </c>
      <c r="B2895" s="1" t="s">
        <v>5546</v>
      </c>
      <c r="C2895" s="1" t="s">
        <v>2243</v>
      </c>
      <c r="E2895">
        <f t="shared" si="45"/>
        <v>0</v>
      </c>
    </row>
    <row r="2896" spans="1:5">
      <c r="A2896" s="1">
        <f>IF(C2896="","",COUNTA(C$4:C2896))</f>
        <v>2869</v>
      </c>
      <c r="B2896" s="1" t="s">
        <v>5547</v>
      </c>
      <c r="C2896" s="1" t="s">
        <v>5548</v>
      </c>
      <c r="E2896">
        <f t="shared" si="45"/>
        <v>0</v>
      </c>
    </row>
    <row r="2897" spans="1:5">
      <c r="A2897" s="1">
        <f>IF(C2897="","",COUNTA(C$4:C2897))</f>
        <v>2870</v>
      </c>
      <c r="B2897" s="1" t="s">
        <v>5549</v>
      </c>
      <c r="C2897" s="1" t="s">
        <v>5550</v>
      </c>
      <c r="E2897">
        <f t="shared" si="45"/>
        <v>0</v>
      </c>
    </row>
    <row r="2898" spans="1:5">
      <c r="A2898" s="1">
        <f>IF(C2898="","",COUNTA(C$4:C2898))</f>
        <v>2871</v>
      </c>
      <c r="B2898" s="1" t="s">
        <v>5551</v>
      </c>
      <c r="C2898" s="1" t="s">
        <v>5552</v>
      </c>
      <c r="E2898">
        <f t="shared" si="45"/>
        <v>0</v>
      </c>
    </row>
    <row r="2899" spans="1:5">
      <c r="A2899" s="1">
        <f>IF(C2899="","",COUNTA(C$4:C2899))</f>
        <v>2872</v>
      </c>
      <c r="B2899" s="1" t="s">
        <v>5553</v>
      </c>
      <c r="C2899" s="1" t="s">
        <v>5554</v>
      </c>
      <c r="E2899">
        <f t="shared" si="45"/>
        <v>0</v>
      </c>
    </row>
    <row r="2900" spans="1:5">
      <c r="A2900" s="1">
        <f>IF(C2900="","",COUNTA(C$4:C2900))</f>
        <v>2873</v>
      </c>
      <c r="B2900" s="1" t="s">
        <v>5555</v>
      </c>
      <c r="C2900" s="1" t="s">
        <v>5556</v>
      </c>
      <c r="E2900">
        <f t="shared" si="45"/>
        <v>0</v>
      </c>
    </row>
    <row r="2901" spans="1:5">
      <c r="A2901" s="1">
        <f>IF(C2901="","",COUNTA(C$4:C2901))</f>
        <v>2874</v>
      </c>
      <c r="B2901" s="1" t="s">
        <v>5557</v>
      </c>
      <c r="C2901" s="1" t="s">
        <v>5558</v>
      </c>
      <c r="E2901">
        <f t="shared" si="45"/>
        <v>0</v>
      </c>
    </row>
    <row r="2902" spans="1:5">
      <c r="A2902" s="1">
        <f>IF(C2902="","",COUNTA(C$4:C2902))</f>
        <v>2875</v>
      </c>
      <c r="B2902" s="1" t="s">
        <v>5559</v>
      </c>
      <c r="C2902" s="1" t="s">
        <v>5560</v>
      </c>
      <c r="E2902">
        <f t="shared" si="45"/>
        <v>0</v>
      </c>
    </row>
    <row r="2903" spans="1:5">
      <c r="A2903" s="1">
        <f>IF(C2903="","",COUNTA(C$4:C2903))</f>
        <v>2876</v>
      </c>
      <c r="B2903" s="1" t="s">
        <v>5561</v>
      </c>
      <c r="C2903" s="1" t="s">
        <v>5562</v>
      </c>
      <c r="E2903">
        <f t="shared" si="45"/>
        <v>0</v>
      </c>
    </row>
    <row r="2904" spans="1:5">
      <c r="A2904" s="1">
        <f>IF(C2904="","",COUNTA(C$4:C2904))</f>
        <v>2877</v>
      </c>
      <c r="B2904" s="1" t="s">
        <v>5563</v>
      </c>
      <c r="C2904" s="1" t="s">
        <v>5564</v>
      </c>
      <c r="E2904">
        <f t="shared" si="45"/>
        <v>0</v>
      </c>
    </row>
    <row r="2905" spans="1:5">
      <c r="A2905" s="1">
        <f>IF(C2905="","",COUNTA(C$4:C2905))</f>
        <v>2878</v>
      </c>
      <c r="B2905" s="1" t="s">
        <v>5565</v>
      </c>
      <c r="C2905" s="1" t="s">
        <v>2257</v>
      </c>
      <c r="E2905">
        <f t="shared" si="45"/>
        <v>0</v>
      </c>
    </row>
    <row r="2906" spans="1:5">
      <c r="A2906" s="1">
        <f>IF(C2906="","",COUNTA(C$4:C2906))</f>
        <v>2879</v>
      </c>
      <c r="B2906" s="1" t="s">
        <v>5566</v>
      </c>
      <c r="C2906" s="1" t="s">
        <v>5567</v>
      </c>
      <c r="E2906">
        <f t="shared" si="45"/>
        <v>0</v>
      </c>
    </row>
    <row r="2907" spans="1:5">
      <c r="A2907" s="1">
        <f>IF(C2907="","",COUNTA(C$4:C2907))</f>
        <v>2880</v>
      </c>
      <c r="B2907" s="1" t="s">
        <v>5568</v>
      </c>
      <c r="C2907" s="1" t="s">
        <v>5569</v>
      </c>
      <c r="E2907">
        <f t="shared" si="45"/>
        <v>0</v>
      </c>
    </row>
    <row r="2908" spans="1:5">
      <c r="A2908" s="1">
        <f>IF(C2908="","",COUNTA(C$4:C2908))</f>
        <v>2881</v>
      </c>
      <c r="B2908" s="1" t="s">
        <v>5570</v>
      </c>
      <c r="C2908" s="1" t="s">
        <v>5571</v>
      </c>
      <c r="E2908">
        <f t="shared" si="45"/>
        <v>0</v>
      </c>
    </row>
    <row r="2909" spans="1:5">
      <c r="A2909" s="1">
        <f>IF(C2909="","",COUNTA(C$4:C2909))</f>
        <v>2882</v>
      </c>
      <c r="B2909" s="1" t="s">
        <v>5572</v>
      </c>
      <c r="C2909" s="1" t="s">
        <v>5573</v>
      </c>
      <c r="E2909">
        <f t="shared" si="45"/>
        <v>0</v>
      </c>
    </row>
    <row r="2910" spans="1:5">
      <c r="A2910" s="1">
        <f>IF(C2910="","",COUNTA(C$4:C2910))</f>
        <v>2883</v>
      </c>
      <c r="B2910" s="1" t="s">
        <v>5574</v>
      </c>
      <c r="C2910" s="1" t="s">
        <v>5575</v>
      </c>
      <c r="E2910">
        <f t="shared" si="45"/>
        <v>0</v>
      </c>
    </row>
    <row r="2911" spans="1:5">
      <c r="A2911" s="1">
        <f>IF(C2911="","",COUNTA(C$4:C2911))</f>
        <v>2884</v>
      </c>
      <c r="B2911" s="1" t="s">
        <v>5576</v>
      </c>
      <c r="C2911" s="1" t="s">
        <v>5577</v>
      </c>
      <c r="E2911">
        <f t="shared" si="45"/>
        <v>0</v>
      </c>
    </row>
    <row r="2912" spans="1:5">
      <c r="A2912" s="1">
        <f>IF(C2912="","",COUNTA(C$4:C2912))</f>
        <v>2885</v>
      </c>
      <c r="B2912" s="1" t="s">
        <v>4203</v>
      </c>
      <c r="C2912" s="1" t="s">
        <v>5578</v>
      </c>
      <c r="E2912">
        <f t="shared" si="45"/>
        <v>0</v>
      </c>
    </row>
    <row r="2913" spans="1:5">
      <c r="A2913" s="1">
        <f>IF(C2913="","",COUNTA(C$4:C2913))</f>
        <v>2886</v>
      </c>
      <c r="B2913" s="1" t="s">
        <v>5579</v>
      </c>
      <c r="C2913" s="1" t="s">
        <v>5580</v>
      </c>
      <c r="E2913">
        <f t="shared" si="45"/>
        <v>0</v>
      </c>
    </row>
    <row r="2914" spans="1:5">
      <c r="A2914" s="1">
        <f>IF(C2914="","",COUNTA(C$4:C2914))</f>
        <v>2887</v>
      </c>
      <c r="B2914" s="1" t="s">
        <v>5581</v>
      </c>
      <c r="C2914" s="1" t="s">
        <v>5582</v>
      </c>
      <c r="E2914">
        <f t="shared" si="45"/>
        <v>0</v>
      </c>
    </row>
    <row r="2915" spans="1:5">
      <c r="A2915" s="1">
        <f>IF(C2915="","",COUNTA(C$4:C2915))</f>
        <v>2888</v>
      </c>
      <c r="B2915" s="1" t="s">
        <v>5583</v>
      </c>
      <c r="C2915" s="1" t="s">
        <v>5584</v>
      </c>
      <c r="E2915">
        <f t="shared" si="45"/>
        <v>0</v>
      </c>
    </row>
    <row r="2916" spans="1:5">
      <c r="A2916" s="1">
        <f>IF(C2916="","",COUNTA(C$4:C2916))</f>
        <v>2889</v>
      </c>
      <c r="B2916" s="1" t="s">
        <v>5585</v>
      </c>
      <c r="C2916" s="1" t="s">
        <v>5586</v>
      </c>
      <c r="E2916">
        <f t="shared" si="45"/>
        <v>0</v>
      </c>
    </row>
    <row r="2917" spans="1:5">
      <c r="A2917" s="1">
        <f>IF(C2917="","",COUNTA(C$4:C2917))</f>
        <v>2890</v>
      </c>
      <c r="B2917" s="1" t="s">
        <v>5587</v>
      </c>
      <c r="C2917" s="1" t="s">
        <v>5588</v>
      </c>
      <c r="E2917">
        <f t="shared" si="45"/>
        <v>0</v>
      </c>
    </row>
    <row r="2918" spans="1:5">
      <c r="A2918" s="1">
        <f>IF(C2918="","",COUNTA(C$4:C2918))</f>
        <v>2891</v>
      </c>
      <c r="B2918" s="1" t="s">
        <v>5589</v>
      </c>
      <c r="C2918" s="1" t="s">
        <v>5590</v>
      </c>
      <c r="E2918">
        <f t="shared" si="45"/>
        <v>0</v>
      </c>
    </row>
    <row r="2919" spans="1:5">
      <c r="A2919" s="1">
        <f>IF(C2919="","",COUNTA(C$4:C2919))</f>
        <v>2892</v>
      </c>
      <c r="B2919" s="1" t="s">
        <v>5591</v>
      </c>
      <c r="C2919" s="1" t="s">
        <v>5592</v>
      </c>
      <c r="E2919">
        <f t="shared" si="45"/>
        <v>0</v>
      </c>
    </row>
    <row r="2920" spans="1:5">
      <c r="A2920" s="1">
        <f>IF(C2920="","",COUNTA(C$4:C2920))</f>
        <v>2893</v>
      </c>
      <c r="B2920" s="1" t="s">
        <v>5593</v>
      </c>
      <c r="C2920" s="1" t="s">
        <v>5594</v>
      </c>
      <c r="E2920">
        <f t="shared" si="45"/>
        <v>0</v>
      </c>
    </row>
    <row r="2921" spans="1:5">
      <c r="A2921" s="1">
        <f>IF(C2921="","",COUNTA(C$4:C2921))</f>
        <v>2894</v>
      </c>
      <c r="B2921" s="1" t="s">
        <v>5595</v>
      </c>
      <c r="C2921" s="1" t="s">
        <v>5596</v>
      </c>
      <c r="E2921">
        <f t="shared" si="45"/>
        <v>0</v>
      </c>
    </row>
    <row r="2922" spans="1:5">
      <c r="A2922" s="1">
        <f>IF(C2922="","",COUNTA(C$4:C2922))</f>
        <v>2895</v>
      </c>
      <c r="B2922" s="1" t="s">
        <v>3899</v>
      </c>
      <c r="C2922" s="1" t="s">
        <v>5597</v>
      </c>
      <c r="E2922">
        <f t="shared" si="45"/>
        <v>0</v>
      </c>
    </row>
    <row r="2923" spans="1:5">
      <c r="A2923" s="1">
        <f>IF(C2923="","",COUNTA(C$4:C2923))</f>
        <v>2896</v>
      </c>
      <c r="B2923" s="1" t="s">
        <v>5598</v>
      </c>
      <c r="C2923" s="1" t="s">
        <v>2289</v>
      </c>
      <c r="E2923">
        <f t="shared" si="45"/>
        <v>0</v>
      </c>
    </row>
    <row r="2924" spans="1:5">
      <c r="A2924" s="1">
        <f>IF(C2924="","",COUNTA(C$4:C2924))</f>
        <v>2897</v>
      </c>
      <c r="B2924" s="1" t="s">
        <v>5599</v>
      </c>
      <c r="C2924" s="1" t="s">
        <v>5600</v>
      </c>
      <c r="E2924">
        <f t="shared" si="45"/>
        <v>0</v>
      </c>
    </row>
    <row r="2925" spans="1:5">
      <c r="A2925" s="1">
        <f>IF(C2925="","",COUNTA(C$4:C2925))</f>
        <v>2898</v>
      </c>
      <c r="B2925" s="1" t="s">
        <v>5601</v>
      </c>
      <c r="C2925" s="1" t="s">
        <v>5602</v>
      </c>
      <c r="E2925">
        <f t="shared" si="45"/>
        <v>0</v>
      </c>
    </row>
    <row r="2926" spans="1:5">
      <c r="A2926" s="1">
        <f>IF(C2926="","",COUNTA(C$4:C2926))</f>
        <v>2899</v>
      </c>
      <c r="B2926" s="1" t="s">
        <v>5603</v>
      </c>
      <c r="C2926" s="1" t="s">
        <v>5604</v>
      </c>
      <c r="E2926">
        <f t="shared" si="45"/>
        <v>0</v>
      </c>
    </row>
    <row r="2927" spans="1:5">
      <c r="A2927" s="1">
        <f>IF(C2927="","",COUNTA(C$4:C2927))</f>
        <v>2900</v>
      </c>
      <c r="B2927" s="1" t="s">
        <v>5605</v>
      </c>
      <c r="C2927" s="1" t="s">
        <v>5606</v>
      </c>
      <c r="E2927">
        <f t="shared" si="45"/>
        <v>0</v>
      </c>
    </row>
    <row r="2928" spans="1:5">
      <c r="A2928" s="1">
        <f>IF(C2928="","",COUNTA(C$4:C2928))</f>
        <v>2901</v>
      </c>
      <c r="B2928" s="1" t="s">
        <v>5607</v>
      </c>
      <c r="C2928" s="1" t="s">
        <v>5608</v>
      </c>
      <c r="E2928">
        <f t="shared" si="45"/>
        <v>0</v>
      </c>
    </row>
    <row r="2929" spans="1:5">
      <c r="A2929" s="1">
        <f>IF(C2929="","",COUNTA(C$4:C2929))</f>
        <v>2902</v>
      </c>
      <c r="B2929" s="1" t="s">
        <v>5609</v>
      </c>
      <c r="C2929" s="1" t="s">
        <v>5610</v>
      </c>
      <c r="E2929">
        <f t="shared" si="45"/>
        <v>0</v>
      </c>
    </row>
    <row r="2930" spans="1:5">
      <c r="A2930" s="1">
        <f>IF(C2930="","",COUNTA(C$4:C2930))</f>
        <v>2903</v>
      </c>
      <c r="B2930" s="1" t="s">
        <v>5611</v>
      </c>
      <c r="C2930" s="1" t="s">
        <v>2302</v>
      </c>
      <c r="E2930">
        <f t="shared" si="45"/>
        <v>0</v>
      </c>
    </row>
    <row r="2931" spans="1:5">
      <c r="A2931" s="1">
        <f>IF(C2931="","",COUNTA(C$4:C2931))</f>
        <v>2904</v>
      </c>
      <c r="B2931" s="1" t="s">
        <v>5612</v>
      </c>
      <c r="C2931" s="1" t="s">
        <v>5613</v>
      </c>
      <c r="E2931">
        <f t="shared" si="45"/>
        <v>0</v>
      </c>
    </row>
    <row r="2932" spans="1:5">
      <c r="A2932" s="1">
        <f>IF(C2932="","",COUNTA(C$4:C2932))</f>
        <v>2905</v>
      </c>
      <c r="B2932" s="1" t="s">
        <v>5614</v>
      </c>
      <c r="C2932" s="1" t="s">
        <v>5615</v>
      </c>
      <c r="E2932">
        <f t="shared" si="45"/>
        <v>0</v>
      </c>
    </row>
    <row r="2933" spans="1:5">
      <c r="A2933" s="1">
        <f>IF(C2933="","",COUNTA(C$4:C2933))</f>
        <v>2906</v>
      </c>
      <c r="B2933" s="1" t="s">
        <v>5616</v>
      </c>
      <c r="C2933" s="1" t="s">
        <v>447</v>
      </c>
      <c r="E2933">
        <f t="shared" si="45"/>
        <v>0</v>
      </c>
    </row>
    <row r="2934" spans="1:5">
      <c r="A2934" s="1">
        <f>IF(C2934="","",COUNTA(C$4:C2934))</f>
        <v>2907</v>
      </c>
      <c r="B2934" s="1" t="s">
        <v>5617</v>
      </c>
      <c r="C2934" s="1" t="s">
        <v>5618</v>
      </c>
      <c r="E2934">
        <f t="shared" si="45"/>
        <v>0</v>
      </c>
    </row>
    <row r="2935" spans="1:5">
      <c r="A2935" s="1">
        <f>IF(C2935="","",COUNTA(C$4:C2935))</f>
        <v>2908</v>
      </c>
      <c r="B2935" s="1" t="s">
        <v>5619</v>
      </c>
      <c r="C2935" s="1" t="s">
        <v>5620</v>
      </c>
      <c r="E2935">
        <f t="shared" si="45"/>
        <v>0</v>
      </c>
    </row>
    <row r="2936" spans="1:5">
      <c r="A2936" s="1">
        <f>IF(C2936="","",COUNTA(C$4:C2936))</f>
        <v>2909</v>
      </c>
      <c r="B2936" s="1" t="s">
        <v>5621</v>
      </c>
      <c r="C2936" s="1" t="s">
        <v>5622</v>
      </c>
      <c r="E2936">
        <f t="shared" si="45"/>
        <v>0</v>
      </c>
    </row>
    <row r="2937" spans="1:5">
      <c r="A2937" s="1">
        <f>IF(C2937="","",COUNTA(C$4:C2937))</f>
        <v>2910</v>
      </c>
      <c r="B2937" s="1" t="s">
        <v>5623</v>
      </c>
      <c r="C2937" s="1" t="s">
        <v>5624</v>
      </c>
      <c r="E2937">
        <f t="shared" si="45"/>
        <v>0</v>
      </c>
    </row>
    <row r="2938" spans="1:5">
      <c r="A2938" s="1">
        <f>IF(C2938="","",COUNTA(C$4:C2938))</f>
        <v>2911</v>
      </c>
      <c r="B2938" s="1" t="s">
        <v>5625</v>
      </c>
      <c r="C2938" s="1" t="s">
        <v>2331</v>
      </c>
      <c r="E2938">
        <f t="shared" si="45"/>
        <v>0</v>
      </c>
    </row>
    <row r="2939" spans="1:5">
      <c r="A2939" s="1">
        <f>IF(C2939="","",COUNTA(C$4:C2939))</f>
        <v>2912</v>
      </c>
      <c r="B2939" s="1" t="s">
        <v>5626</v>
      </c>
      <c r="C2939" s="1" t="s">
        <v>5627</v>
      </c>
      <c r="E2939">
        <f t="shared" si="45"/>
        <v>0</v>
      </c>
    </row>
    <row r="2940" spans="1:5">
      <c r="A2940" s="1">
        <f>IF(C2940="","",COUNTA(C$4:C2940))</f>
        <v>2913</v>
      </c>
      <c r="B2940" s="1" t="s">
        <v>5628</v>
      </c>
      <c r="C2940" s="1" t="s">
        <v>5629</v>
      </c>
      <c r="E2940">
        <f t="shared" si="45"/>
        <v>0</v>
      </c>
    </row>
    <row r="2941" spans="1:5">
      <c r="A2941" s="1">
        <f>IF(C2941="","",COUNTA(C$4:C2941))</f>
        <v>2914</v>
      </c>
      <c r="B2941" s="1" t="s">
        <v>5630</v>
      </c>
      <c r="C2941" s="1" t="s">
        <v>5631</v>
      </c>
      <c r="E2941">
        <f t="shared" si="45"/>
        <v>0</v>
      </c>
    </row>
    <row r="2942" spans="1:5">
      <c r="A2942" s="1">
        <f>IF(C2942="","",COUNTA(C$4:C2942))</f>
        <v>2915</v>
      </c>
      <c r="B2942" s="1" t="s">
        <v>5632</v>
      </c>
      <c r="C2942" s="1" t="s">
        <v>5633</v>
      </c>
      <c r="E2942">
        <f t="shared" si="45"/>
        <v>0</v>
      </c>
    </row>
    <row r="2943" spans="1:5">
      <c r="A2943" s="1">
        <f>IF(C2943="","",COUNTA(C$4:C2943))</f>
        <v>2916</v>
      </c>
      <c r="B2943" s="1" t="s">
        <v>5634</v>
      </c>
      <c r="C2943" s="1" t="s">
        <v>5635</v>
      </c>
      <c r="E2943">
        <f t="shared" si="45"/>
        <v>0</v>
      </c>
    </row>
    <row r="2944" spans="1:5">
      <c r="A2944" s="1">
        <f>IF(C2944="","",COUNTA(C$4:C2944))</f>
        <v>2917</v>
      </c>
      <c r="B2944" s="1" t="s">
        <v>5636</v>
      </c>
      <c r="C2944" s="1" t="s">
        <v>2347</v>
      </c>
      <c r="E2944">
        <f t="shared" si="45"/>
        <v>0</v>
      </c>
    </row>
    <row r="2945" spans="1:5">
      <c r="A2945" s="1">
        <f>IF(C2945="","",COUNTA(C$4:C2945))</f>
        <v>2918</v>
      </c>
      <c r="B2945" s="1" t="s">
        <v>5637</v>
      </c>
      <c r="C2945" s="1" t="s">
        <v>5638</v>
      </c>
      <c r="E2945">
        <f t="shared" si="45"/>
        <v>0</v>
      </c>
    </row>
    <row r="2946" spans="1:5">
      <c r="A2946" s="1">
        <f>IF(C2946="","",COUNTA(C$4:C2946))</f>
        <v>2919</v>
      </c>
      <c r="B2946" s="1" t="s">
        <v>5639</v>
      </c>
      <c r="C2946" s="1" t="s">
        <v>559</v>
      </c>
      <c r="E2946">
        <f t="shared" si="45"/>
        <v>0</v>
      </c>
    </row>
    <row r="2947" spans="1:5">
      <c r="A2947" s="1">
        <f>IF(C2947="","",COUNTA(C$4:C2947))</f>
        <v>2920</v>
      </c>
      <c r="B2947" s="1" t="s">
        <v>5640</v>
      </c>
      <c r="C2947" s="1" t="s">
        <v>5641</v>
      </c>
      <c r="E2947">
        <f t="shared" si="45"/>
        <v>0</v>
      </c>
    </row>
    <row r="2948" spans="1:5">
      <c r="A2948" s="1">
        <f>IF(C2948="","",COUNTA(C$4:C2948))</f>
        <v>2921</v>
      </c>
      <c r="B2948" s="1" t="s">
        <v>5642</v>
      </c>
      <c r="C2948" s="1" t="s">
        <v>5643</v>
      </c>
      <c r="E2948">
        <f t="shared" si="45"/>
        <v>0</v>
      </c>
    </row>
    <row r="2949" spans="1:5">
      <c r="A2949" s="1">
        <f>IF(C2949="","",COUNTA(C$4:C2949))</f>
        <v>2922</v>
      </c>
      <c r="B2949" s="1" t="s">
        <v>5644</v>
      </c>
      <c r="C2949" s="1" t="s">
        <v>5645</v>
      </c>
      <c r="E2949">
        <f t="shared" ref="E2949:E3012" si="46">IF(C2949=D2949,1,0)</f>
        <v>0</v>
      </c>
    </row>
    <row r="2950" spans="1:5">
      <c r="A2950" s="1">
        <f>IF(C2950="","",COUNTA(C$4:C2950))</f>
        <v>2923</v>
      </c>
      <c r="B2950" s="1" t="s">
        <v>5646</v>
      </c>
      <c r="C2950" s="1" t="s">
        <v>5647</v>
      </c>
      <c r="E2950">
        <f t="shared" si="46"/>
        <v>0</v>
      </c>
    </row>
    <row r="2951" spans="1:5">
      <c r="A2951" s="1">
        <f>IF(C2951="","",COUNTA(C$4:C2951))</f>
        <v>2924</v>
      </c>
      <c r="B2951" s="1" t="s">
        <v>5646</v>
      </c>
      <c r="C2951" s="1" t="s">
        <v>5648</v>
      </c>
      <c r="E2951">
        <f t="shared" si="46"/>
        <v>0</v>
      </c>
    </row>
    <row r="2952" spans="1:5">
      <c r="A2952" s="1">
        <f>IF(C2952="","",COUNTA(C$4:C2952))</f>
        <v>2925</v>
      </c>
      <c r="B2952" s="1" t="s">
        <v>5649</v>
      </c>
      <c r="C2952" s="1" t="s">
        <v>5650</v>
      </c>
      <c r="E2952">
        <f t="shared" si="46"/>
        <v>0</v>
      </c>
    </row>
    <row r="2953" spans="1:5">
      <c r="A2953" s="1">
        <f>IF(C2953="","",COUNTA(C$4:C2953))</f>
        <v>2926</v>
      </c>
      <c r="B2953" s="1" t="s">
        <v>5651</v>
      </c>
      <c r="C2953" s="1" t="s">
        <v>5652</v>
      </c>
      <c r="E2953">
        <f t="shared" si="46"/>
        <v>0</v>
      </c>
    </row>
    <row r="2954" spans="1:5">
      <c r="A2954" s="1">
        <f>IF(C2954="","",COUNTA(C$4:C2954))</f>
        <v>2927</v>
      </c>
      <c r="B2954" s="1" t="s">
        <v>5653</v>
      </c>
      <c r="C2954" s="1" t="s">
        <v>5654</v>
      </c>
      <c r="E2954">
        <f t="shared" si="46"/>
        <v>0</v>
      </c>
    </row>
    <row r="2955" spans="1:5">
      <c r="A2955" s="1">
        <f>IF(C2955="","",COUNTA(C$4:C2955))</f>
        <v>2928</v>
      </c>
      <c r="B2955" s="1" t="s">
        <v>5655</v>
      </c>
      <c r="C2955" s="1" t="s">
        <v>5656</v>
      </c>
      <c r="E2955">
        <f t="shared" si="46"/>
        <v>0</v>
      </c>
    </row>
    <row r="2956" spans="1:5">
      <c r="A2956" s="1">
        <f>IF(C2956="","",COUNTA(C$4:C2956))</f>
        <v>2929</v>
      </c>
      <c r="B2956" s="1" t="s">
        <v>5657</v>
      </c>
      <c r="C2956" s="1" t="s">
        <v>5658</v>
      </c>
      <c r="E2956">
        <f t="shared" si="46"/>
        <v>0</v>
      </c>
    </row>
    <row r="2957" spans="1:5">
      <c r="A2957" s="1">
        <f>IF(C2957="","",COUNTA(C$4:C2957))</f>
        <v>2930</v>
      </c>
      <c r="B2957" s="1" t="s">
        <v>5659</v>
      </c>
      <c r="C2957" s="1" t="s">
        <v>5660</v>
      </c>
      <c r="E2957">
        <f t="shared" si="46"/>
        <v>0</v>
      </c>
    </row>
    <row r="2958" spans="1:5">
      <c r="A2958" s="1">
        <f>IF(C2958="","",COUNTA(C$4:C2958))</f>
        <v>2931</v>
      </c>
      <c r="B2958" s="1" t="s">
        <v>5661</v>
      </c>
      <c r="C2958" s="1" t="s">
        <v>2369</v>
      </c>
      <c r="E2958">
        <f t="shared" si="46"/>
        <v>0</v>
      </c>
    </row>
    <row r="2959" spans="1:5">
      <c r="A2959" s="1">
        <f>IF(C2959="","",COUNTA(C$4:C2959))</f>
        <v>2932</v>
      </c>
      <c r="B2959" s="1" t="s">
        <v>5662</v>
      </c>
      <c r="C2959" s="1" t="s">
        <v>2381</v>
      </c>
      <c r="E2959">
        <f t="shared" si="46"/>
        <v>0</v>
      </c>
    </row>
    <row r="2960" spans="1:5">
      <c r="A2960" s="1">
        <f>IF(C2960="","",COUNTA(C$4:C2960))</f>
        <v>2933</v>
      </c>
      <c r="B2960" s="1" t="s">
        <v>5663</v>
      </c>
      <c r="C2960" s="1" t="s">
        <v>5664</v>
      </c>
      <c r="E2960">
        <f t="shared" si="46"/>
        <v>0</v>
      </c>
    </row>
    <row r="2961" spans="1:5">
      <c r="A2961" s="1">
        <f>IF(C2961="","",COUNTA(C$4:C2961))</f>
        <v>2934</v>
      </c>
      <c r="B2961" s="1" t="s">
        <v>5665</v>
      </c>
      <c r="C2961" s="1" t="s">
        <v>5666</v>
      </c>
      <c r="E2961">
        <f t="shared" si="46"/>
        <v>0</v>
      </c>
    </row>
    <row r="2962" spans="1:5">
      <c r="A2962" s="1">
        <f>IF(C2962="","",COUNTA(C$4:C2962))</f>
        <v>2935</v>
      </c>
      <c r="B2962" s="1" t="s">
        <v>5667</v>
      </c>
      <c r="C2962" s="1" t="s">
        <v>5668</v>
      </c>
      <c r="E2962">
        <f t="shared" si="46"/>
        <v>0</v>
      </c>
    </row>
    <row r="2963" spans="1:5">
      <c r="A2963" s="1">
        <f>IF(C2963="","",COUNTA(C$4:C2963))</f>
        <v>2936</v>
      </c>
      <c r="B2963" s="1" t="s">
        <v>5669</v>
      </c>
      <c r="C2963" s="1" t="s">
        <v>5670</v>
      </c>
      <c r="E2963">
        <f t="shared" si="46"/>
        <v>0</v>
      </c>
    </row>
    <row r="2964" spans="1:5">
      <c r="A2964" s="1">
        <f>IF(C2964="","",COUNTA(C$4:C2964))</f>
        <v>2937</v>
      </c>
      <c r="B2964" s="1" t="s">
        <v>5671</v>
      </c>
      <c r="C2964" s="1" t="s">
        <v>5672</v>
      </c>
      <c r="E2964">
        <f t="shared" si="46"/>
        <v>0</v>
      </c>
    </row>
    <row r="2965" spans="1:5">
      <c r="A2965" s="1">
        <f>IF(C2965="","",COUNTA(C$4:C2965))</f>
        <v>2938</v>
      </c>
      <c r="B2965" s="1" t="s">
        <v>5673</v>
      </c>
      <c r="C2965" s="1" t="s">
        <v>5674</v>
      </c>
      <c r="E2965">
        <f t="shared" si="46"/>
        <v>0</v>
      </c>
    </row>
    <row r="2966" spans="1:5">
      <c r="A2966" s="1">
        <f>IF(C2966="","",COUNTA(C$4:C2966))</f>
        <v>2939</v>
      </c>
      <c r="B2966" s="1" t="s">
        <v>5675</v>
      </c>
      <c r="C2966" s="1" t="s">
        <v>5676</v>
      </c>
      <c r="E2966">
        <f t="shared" si="46"/>
        <v>0</v>
      </c>
    </row>
    <row r="2967" spans="1:5">
      <c r="A2967" s="1">
        <f>IF(C2967="","",COUNTA(C$4:C2967))</f>
        <v>2940</v>
      </c>
      <c r="B2967" s="1" t="s">
        <v>5677</v>
      </c>
      <c r="C2967" s="1" t="s">
        <v>5678</v>
      </c>
      <c r="E2967">
        <f t="shared" si="46"/>
        <v>0</v>
      </c>
    </row>
    <row r="2968" spans="1:5">
      <c r="A2968" s="1">
        <f>IF(C2968="","",COUNTA(C$4:C2968))</f>
        <v>2941</v>
      </c>
      <c r="B2968" s="1" t="s">
        <v>5679</v>
      </c>
      <c r="C2968" s="1" t="s">
        <v>5680</v>
      </c>
      <c r="E2968">
        <f t="shared" si="46"/>
        <v>0</v>
      </c>
    </row>
    <row r="2969" spans="1:5">
      <c r="A2969" s="1">
        <f>IF(C2969="","",COUNTA(C$4:C2969))</f>
        <v>2942</v>
      </c>
      <c r="B2969" s="1" t="s">
        <v>5681</v>
      </c>
      <c r="C2969" s="1" t="s">
        <v>5682</v>
      </c>
      <c r="E2969">
        <f t="shared" si="46"/>
        <v>0</v>
      </c>
    </row>
    <row r="2970" spans="1:5">
      <c r="A2970" s="1">
        <f>IF(C2970="","",COUNTA(C$4:C2970))</f>
        <v>2943</v>
      </c>
      <c r="B2970" s="1" t="s">
        <v>5683</v>
      </c>
      <c r="C2970" s="1" t="s">
        <v>754</v>
      </c>
      <c r="E2970">
        <f t="shared" si="46"/>
        <v>0</v>
      </c>
    </row>
    <row r="2971" spans="1:5">
      <c r="A2971" s="1">
        <f>IF(C2971="","",COUNTA(C$4:C2971))</f>
        <v>2944</v>
      </c>
      <c r="B2971" s="1" t="s">
        <v>5684</v>
      </c>
      <c r="C2971" s="1" t="s">
        <v>5685</v>
      </c>
      <c r="E2971">
        <f t="shared" si="46"/>
        <v>0</v>
      </c>
    </row>
    <row r="2972" spans="1:5">
      <c r="A2972" s="1">
        <f>IF(C2972="","",COUNTA(C$4:C2972))</f>
        <v>2945</v>
      </c>
      <c r="B2972" s="1" t="s">
        <v>5686</v>
      </c>
      <c r="C2972" s="1" t="s">
        <v>5687</v>
      </c>
      <c r="E2972">
        <f t="shared" si="46"/>
        <v>0</v>
      </c>
    </row>
    <row r="2973" spans="1:5">
      <c r="A2973" s="1">
        <f>IF(C2973="","",COUNTA(C$4:C2973))</f>
        <v>2946</v>
      </c>
      <c r="B2973" s="1" t="s">
        <v>5688</v>
      </c>
      <c r="C2973" s="1" t="s">
        <v>5689</v>
      </c>
      <c r="E2973">
        <f t="shared" si="46"/>
        <v>0</v>
      </c>
    </row>
    <row r="2974" spans="1:5">
      <c r="A2974" s="1">
        <f>IF(C2974="","",COUNTA(C$4:C2974))</f>
        <v>2947</v>
      </c>
      <c r="B2974" s="1" t="s">
        <v>5690</v>
      </c>
      <c r="C2974" s="1" t="s">
        <v>5691</v>
      </c>
      <c r="E2974">
        <f t="shared" si="46"/>
        <v>0</v>
      </c>
    </row>
    <row r="2975" spans="1:5">
      <c r="A2975" s="1">
        <f>IF(C2975="","",COUNTA(C$4:C2975))</f>
        <v>2948</v>
      </c>
      <c r="B2975" s="1" t="s">
        <v>5692</v>
      </c>
      <c r="C2975" s="1" t="s">
        <v>5693</v>
      </c>
      <c r="E2975">
        <f t="shared" si="46"/>
        <v>0</v>
      </c>
    </row>
    <row r="2976" spans="1:5">
      <c r="A2976" s="1">
        <f>IF(C2976="","",COUNTA(C$4:C2976))</f>
        <v>2949</v>
      </c>
      <c r="B2976" s="1" t="s">
        <v>5694</v>
      </c>
      <c r="C2976" s="1" t="s">
        <v>5695</v>
      </c>
      <c r="E2976">
        <f t="shared" si="46"/>
        <v>0</v>
      </c>
    </row>
    <row r="2977" spans="1:5">
      <c r="A2977" s="1">
        <f>IF(C2977="","",COUNTA(C$4:C2977))</f>
        <v>2950</v>
      </c>
      <c r="B2977" s="1" t="s">
        <v>5696</v>
      </c>
      <c r="C2977" s="1" t="s">
        <v>5697</v>
      </c>
      <c r="E2977">
        <f t="shared" si="46"/>
        <v>0</v>
      </c>
    </row>
    <row r="2978" spans="1:5">
      <c r="A2978" s="1">
        <f>IF(C2978="","",COUNTA(C$4:C2978))</f>
        <v>2951</v>
      </c>
      <c r="B2978" s="1" t="s">
        <v>5698</v>
      </c>
      <c r="C2978" s="1" t="s">
        <v>5699</v>
      </c>
      <c r="E2978">
        <f t="shared" si="46"/>
        <v>0</v>
      </c>
    </row>
    <row r="2979" spans="1:5">
      <c r="A2979" s="1">
        <f>IF(C2979="","",COUNTA(C$4:C2979))</f>
        <v>2952</v>
      </c>
      <c r="B2979" s="1" t="s">
        <v>5700</v>
      </c>
      <c r="C2979" s="1" t="s">
        <v>5701</v>
      </c>
      <c r="E2979">
        <f t="shared" si="46"/>
        <v>0</v>
      </c>
    </row>
    <row r="2980" spans="1:5">
      <c r="A2980" s="1">
        <f>IF(C2980="","",COUNTA(C$4:C2980))</f>
        <v>2953</v>
      </c>
      <c r="B2980" s="1" t="s">
        <v>5702</v>
      </c>
      <c r="C2980" s="1" t="s">
        <v>5703</v>
      </c>
      <c r="E2980">
        <f t="shared" si="46"/>
        <v>0</v>
      </c>
    </row>
    <row r="2981" spans="1:5">
      <c r="A2981" s="1">
        <f>IF(C2981="","",COUNTA(C$4:C2981))</f>
        <v>2954</v>
      </c>
      <c r="B2981" s="1" t="s">
        <v>5704</v>
      </c>
      <c r="C2981" s="1" t="s">
        <v>5705</v>
      </c>
      <c r="E2981">
        <f t="shared" si="46"/>
        <v>0</v>
      </c>
    </row>
    <row r="2982" spans="1:5">
      <c r="A2982" s="1">
        <f>IF(C2982="","",COUNTA(C$4:C2982))</f>
        <v>2955</v>
      </c>
      <c r="B2982" s="1" t="s">
        <v>5706</v>
      </c>
      <c r="C2982" s="1" t="s">
        <v>5707</v>
      </c>
      <c r="E2982">
        <f t="shared" si="46"/>
        <v>0</v>
      </c>
    </row>
    <row r="2983" spans="1:5">
      <c r="A2983" s="1">
        <f>IF(C2983="","",COUNTA(C$4:C2983))</f>
        <v>2956</v>
      </c>
      <c r="B2983" s="1" t="s">
        <v>5708</v>
      </c>
      <c r="C2983" s="1" t="s">
        <v>5709</v>
      </c>
      <c r="E2983">
        <f t="shared" si="46"/>
        <v>0</v>
      </c>
    </row>
    <row r="2984" spans="1:5">
      <c r="A2984" s="1">
        <f>IF(C2984="","",COUNTA(C$4:C2984))</f>
        <v>2957</v>
      </c>
      <c r="B2984" s="1" t="s">
        <v>5710</v>
      </c>
      <c r="C2984" s="1" t="s">
        <v>5711</v>
      </c>
      <c r="E2984">
        <f t="shared" si="46"/>
        <v>0</v>
      </c>
    </row>
    <row r="2985" spans="1:5">
      <c r="A2985" s="1">
        <f>IF(C2985="","",COUNTA(C$4:C2985))</f>
        <v>2958</v>
      </c>
      <c r="B2985" s="1" t="s">
        <v>5712</v>
      </c>
      <c r="C2985" s="1" t="s">
        <v>5713</v>
      </c>
      <c r="E2985">
        <f t="shared" si="46"/>
        <v>0</v>
      </c>
    </row>
    <row r="2986" spans="1:5">
      <c r="A2986" s="1">
        <f>IF(C2986="","",COUNTA(C$4:C2986))</f>
        <v>2959</v>
      </c>
      <c r="B2986" s="1" t="s">
        <v>5714</v>
      </c>
      <c r="C2986" s="1" t="s">
        <v>5715</v>
      </c>
      <c r="E2986">
        <f t="shared" si="46"/>
        <v>0</v>
      </c>
    </row>
    <row r="2987" spans="1:5">
      <c r="A2987" s="1">
        <f>IF(C2987="","",COUNTA(C$4:C2987))</f>
        <v>2960</v>
      </c>
      <c r="B2987" s="1" t="s">
        <v>5716</v>
      </c>
      <c r="C2987" s="1" t="s">
        <v>5717</v>
      </c>
      <c r="E2987">
        <f t="shared" si="46"/>
        <v>0</v>
      </c>
    </row>
    <row r="2988" spans="1:5">
      <c r="A2988" s="1">
        <f>IF(C2988="","",COUNTA(C$4:C2988))</f>
        <v>2961</v>
      </c>
      <c r="B2988" s="1" t="s">
        <v>5718</v>
      </c>
      <c r="C2988" s="1" t="s">
        <v>2470</v>
      </c>
      <c r="E2988">
        <f t="shared" si="46"/>
        <v>0</v>
      </c>
    </row>
    <row r="2989" spans="1:5">
      <c r="A2989" s="1">
        <f>IF(C2989="","",COUNTA(C$4:C2989))</f>
        <v>2962</v>
      </c>
      <c r="B2989" s="1" t="s">
        <v>5719</v>
      </c>
      <c r="C2989" s="1" t="s">
        <v>1006</v>
      </c>
      <c r="E2989">
        <f t="shared" si="46"/>
        <v>0</v>
      </c>
    </row>
    <row r="2990" spans="1:5">
      <c r="A2990" s="1">
        <f>IF(C2990="","",COUNTA(C$4:C2990))</f>
        <v>2963</v>
      </c>
      <c r="B2990" s="1" t="s">
        <v>5720</v>
      </c>
      <c r="C2990" s="1" t="s">
        <v>5721</v>
      </c>
      <c r="E2990">
        <f t="shared" si="46"/>
        <v>0</v>
      </c>
    </row>
    <row r="2991" spans="1:5">
      <c r="A2991" s="1">
        <f>IF(C2991="","",COUNTA(C$4:C2991))</f>
        <v>2964</v>
      </c>
      <c r="B2991" s="1" t="s">
        <v>5722</v>
      </c>
      <c r="C2991" s="1" t="s">
        <v>2805</v>
      </c>
      <c r="E2991">
        <f t="shared" si="46"/>
        <v>0</v>
      </c>
    </row>
    <row r="2992" spans="1:5">
      <c r="A2992" s="1">
        <f>IF(C2992="","",COUNTA(C$4:C2992))</f>
        <v>2965</v>
      </c>
      <c r="B2992" s="1" t="s">
        <v>5723</v>
      </c>
      <c r="C2992" s="1" t="s">
        <v>2474</v>
      </c>
      <c r="E2992">
        <f t="shared" si="46"/>
        <v>0</v>
      </c>
    </row>
    <row r="2993" spans="1:5">
      <c r="A2993" s="1">
        <f>IF(C2993="","",COUNTA(C$4:C2993))</f>
        <v>2966</v>
      </c>
      <c r="B2993" s="1" t="s">
        <v>5724</v>
      </c>
      <c r="C2993" s="1" t="s">
        <v>5725</v>
      </c>
      <c r="E2993">
        <f t="shared" si="46"/>
        <v>0</v>
      </c>
    </row>
    <row r="2994" spans="1:5">
      <c r="A2994" s="1">
        <f>IF(C2994="","",COUNTA(C$4:C2994))</f>
        <v>2967</v>
      </c>
      <c r="B2994" s="1" t="s">
        <v>5726</v>
      </c>
      <c r="C2994" s="1" t="s">
        <v>5727</v>
      </c>
      <c r="E2994">
        <f t="shared" si="46"/>
        <v>0</v>
      </c>
    </row>
    <row r="2995" spans="1:5">
      <c r="A2995" s="1">
        <f>IF(C2995="","",COUNTA(C$4:C2995))</f>
        <v>2968</v>
      </c>
      <c r="B2995" s="1" t="s">
        <v>5728</v>
      </c>
      <c r="C2995" s="1" t="s">
        <v>5729</v>
      </c>
      <c r="E2995">
        <f t="shared" si="46"/>
        <v>0</v>
      </c>
    </row>
    <row r="2996" spans="1:5">
      <c r="A2996" s="1">
        <f>IF(C2996="","",COUNTA(C$4:C2996))</f>
        <v>2969</v>
      </c>
      <c r="B2996" s="1" t="s">
        <v>5730</v>
      </c>
      <c r="C2996" s="1" t="s">
        <v>5731</v>
      </c>
      <c r="E2996">
        <f t="shared" si="46"/>
        <v>0</v>
      </c>
    </row>
    <row r="2997" spans="1:5">
      <c r="A2997" s="1">
        <f>IF(C2997="","",COUNTA(C$4:C2997))</f>
        <v>2970</v>
      </c>
      <c r="B2997" s="1" t="s">
        <v>5732</v>
      </c>
      <c r="C2997" s="1" t="s">
        <v>5733</v>
      </c>
      <c r="E2997">
        <f t="shared" si="46"/>
        <v>0</v>
      </c>
    </row>
    <row r="2998" spans="1:5">
      <c r="A2998" s="1">
        <f>IF(C2998="","",COUNTA(C$4:C2998))</f>
        <v>2971</v>
      </c>
      <c r="B2998" s="1" t="s">
        <v>5734</v>
      </c>
      <c r="C2998" s="1" t="s">
        <v>5735</v>
      </c>
      <c r="E2998">
        <f t="shared" si="46"/>
        <v>0</v>
      </c>
    </row>
    <row r="2999" spans="1:5">
      <c r="A2999" s="1">
        <f>IF(C2999="","",COUNTA(C$4:C2999))</f>
        <v>2972</v>
      </c>
      <c r="B2999" s="1" t="s">
        <v>5736</v>
      </c>
      <c r="C2999" s="1" t="s">
        <v>5737</v>
      </c>
      <c r="E2999">
        <f t="shared" si="46"/>
        <v>0</v>
      </c>
    </row>
    <row r="3000" spans="1:5">
      <c r="A3000" s="1">
        <f>IF(C3000="","",COUNTA(C$4:C3000))</f>
        <v>2973</v>
      </c>
      <c r="B3000" s="1" t="s">
        <v>5738</v>
      </c>
      <c r="C3000" s="1" t="s">
        <v>5739</v>
      </c>
      <c r="E3000">
        <f t="shared" si="46"/>
        <v>0</v>
      </c>
    </row>
    <row r="3001" spans="1:5">
      <c r="A3001" s="1">
        <f>IF(C3001="","",COUNTA(C$4:C3001))</f>
        <v>2974</v>
      </c>
      <c r="B3001" s="1" t="s">
        <v>5740</v>
      </c>
      <c r="C3001" s="1" t="s">
        <v>5741</v>
      </c>
      <c r="E3001">
        <f t="shared" si="46"/>
        <v>0</v>
      </c>
    </row>
    <row r="3002" spans="1:5">
      <c r="A3002" s="1">
        <f>IF(C3002="","",COUNTA(C$4:C3002))</f>
        <v>2975</v>
      </c>
      <c r="B3002" s="1" t="s">
        <v>5742</v>
      </c>
      <c r="C3002" s="1" t="s">
        <v>5743</v>
      </c>
      <c r="E3002">
        <f t="shared" si="46"/>
        <v>0</v>
      </c>
    </row>
    <row r="3003" spans="1:5">
      <c r="A3003" s="1">
        <f>IF(C3003="","",COUNTA(C$4:C3003))</f>
        <v>2976</v>
      </c>
      <c r="B3003" s="1" t="s">
        <v>5744</v>
      </c>
      <c r="C3003" s="1" t="s">
        <v>5745</v>
      </c>
      <c r="E3003">
        <f t="shared" si="46"/>
        <v>0</v>
      </c>
    </row>
    <row r="3004" spans="1:5">
      <c r="A3004" s="1">
        <f>IF(C3004="","",COUNTA(C$4:C3004))</f>
        <v>2977</v>
      </c>
      <c r="B3004" s="1" t="s">
        <v>5746</v>
      </c>
      <c r="C3004" s="1" t="s">
        <v>5747</v>
      </c>
      <c r="E3004">
        <f t="shared" si="46"/>
        <v>0</v>
      </c>
    </row>
    <row r="3005" spans="1:5">
      <c r="A3005" s="1">
        <f>IF(C3005="","",COUNTA(C$4:C3005))</f>
        <v>2978</v>
      </c>
      <c r="B3005" s="1" t="s">
        <v>5748</v>
      </c>
      <c r="C3005" s="1" t="s">
        <v>5749</v>
      </c>
      <c r="E3005">
        <f t="shared" si="46"/>
        <v>0</v>
      </c>
    </row>
    <row r="3006" spans="1:5">
      <c r="A3006" s="1">
        <f>IF(C3006="","",COUNTA(C$4:C3006))</f>
        <v>2979</v>
      </c>
      <c r="B3006" s="1" t="s">
        <v>5750</v>
      </c>
      <c r="C3006" s="1" t="s">
        <v>5751</v>
      </c>
      <c r="E3006">
        <f t="shared" si="46"/>
        <v>0</v>
      </c>
    </row>
    <row r="3007" spans="1:5">
      <c r="A3007" s="1">
        <f>IF(C3007="","",COUNTA(C$4:C3007))</f>
        <v>2980</v>
      </c>
      <c r="B3007" s="1" t="s">
        <v>5752</v>
      </c>
      <c r="C3007" s="1" t="s">
        <v>5753</v>
      </c>
      <c r="E3007">
        <f t="shared" si="46"/>
        <v>0</v>
      </c>
    </row>
    <row r="3008" spans="1:5">
      <c r="A3008" s="1">
        <f>IF(C3008="","",COUNTA(C$4:C3008))</f>
        <v>2981</v>
      </c>
      <c r="B3008" s="1" t="s">
        <v>5754</v>
      </c>
      <c r="C3008" s="1" t="s">
        <v>1279</v>
      </c>
      <c r="E3008">
        <f t="shared" si="46"/>
        <v>0</v>
      </c>
    </row>
    <row r="3009" spans="1:5">
      <c r="A3009" s="1">
        <f>IF(C3009="","",COUNTA(C$4:C3009))</f>
        <v>2982</v>
      </c>
      <c r="B3009" s="1" t="s">
        <v>5755</v>
      </c>
      <c r="C3009" s="1" t="s">
        <v>1281</v>
      </c>
      <c r="E3009">
        <f t="shared" si="46"/>
        <v>0</v>
      </c>
    </row>
    <row r="3010" spans="1:5">
      <c r="A3010" s="1">
        <f>IF(C3010="","",COUNTA(C$4:C3010))</f>
        <v>2983</v>
      </c>
      <c r="B3010" s="1" t="s">
        <v>5756</v>
      </c>
      <c r="C3010" s="1" t="s">
        <v>5757</v>
      </c>
      <c r="E3010">
        <f t="shared" si="46"/>
        <v>0</v>
      </c>
    </row>
    <row r="3011" spans="1:5">
      <c r="A3011" s="1">
        <f>IF(C3011="","",COUNTA(C$4:C3011))</f>
        <v>2984</v>
      </c>
      <c r="B3011" s="1" t="s">
        <v>5758</v>
      </c>
      <c r="C3011" s="1" t="s">
        <v>2569</v>
      </c>
      <c r="E3011">
        <f t="shared" si="46"/>
        <v>0</v>
      </c>
    </row>
    <row r="3012" spans="1:5">
      <c r="A3012" s="1">
        <f>IF(C3012="","",COUNTA(C$4:C3012))</f>
        <v>2985</v>
      </c>
      <c r="B3012" s="1" t="s">
        <v>5759</v>
      </c>
      <c r="C3012" s="1" t="s">
        <v>5760</v>
      </c>
      <c r="E3012">
        <f t="shared" si="46"/>
        <v>0</v>
      </c>
    </row>
    <row r="3013" spans="1:5">
      <c r="A3013" s="1">
        <f>IF(C3013="","",COUNTA(C$4:C3013))</f>
        <v>2986</v>
      </c>
      <c r="B3013" s="1" t="s">
        <v>5761</v>
      </c>
      <c r="C3013" s="1" t="s">
        <v>5762</v>
      </c>
      <c r="E3013">
        <f t="shared" ref="E3013:E3076" si="47">IF(C3013=D3013,1,0)</f>
        <v>0</v>
      </c>
    </row>
    <row r="3014" spans="1:5">
      <c r="A3014" s="1">
        <f>IF(C3014="","",COUNTA(C$4:C3014))</f>
        <v>2987</v>
      </c>
      <c r="B3014" s="1" t="s">
        <v>5763</v>
      </c>
      <c r="C3014" s="1" t="s">
        <v>5764</v>
      </c>
      <c r="E3014">
        <f t="shared" si="47"/>
        <v>0</v>
      </c>
    </row>
    <row r="3015" spans="1:5">
      <c r="A3015" s="1">
        <f>IF(C3015="","",COUNTA(C$4:C3015))</f>
        <v>2988</v>
      </c>
      <c r="B3015" s="1" t="s">
        <v>5765</v>
      </c>
      <c r="C3015" s="1" t="s">
        <v>5766</v>
      </c>
      <c r="E3015">
        <f t="shared" si="47"/>
        <v>0</v>
      </c>
    </row>
    <row r="3016" spans="1:5">
      <c r="A3016" s="1">
        <f>IF(C3016="","",COUNTA(C$4:C3016))</f>
        <v>2989</v>
      </c>
      <c r="B3016" s="1" t="s">
        <v>5767</v>
      </c>
      <c r="C3016" s="1" t="s">
        <v>5768</v>
      </c>
      <c r="E3016">
        <f t="shared" si="47"/>
        <v>0</v>
      </c>
    </row>
    <row r="3017" spans="1:5">
      <c r="A3017" s="1">
        <f>IF(C3017="","",COUNTA(C$4:C3017))</f>
        <v>2990</v>
      </c>
      <c r="B3017" s="1" t="s">
        <v>5769</v>
      </c>
      <c r="C3017" s="1" t="s">
        <v>5770</v>
      </c>
      <c r="E3017">
        <f t="shared" si="47"/>
        <v>0</v>
      </c>
    </row>
    <row r="3018" spans="1:5">
      <c r="A3018" s="1">
        <f>IF(C3018="","",COUNTA(C$4:C3018))</f>
        <v>2991</v>
      </c>
      <c r="B3018" s="1" t="s">
        <v>5771</v>
      </c>
      <c r="C3018" s="1" t="s">
        <v>5772</v>
      </c>
      <c r="E3018">
        <f t="shared" si="47"/>
        <v>0</v>
      </c>
    </row>
    <row r="3019" spans="1:5">
      <c r="A3019" s="1">
        <f>IF(C3019="","",COUNTA(C$4:C3019))</f>
        <v>2992</v>
      </c>
      <c r="B3019" s="1" t="s">
        <v>5773</v>
      </c>
      <c r="C3019" s="1" t="s">
        <v>5774</v>
      </c>
      <c r="E3019">
        <f t="shared" si="47"/>
        <v>0</v>
      </c>
    </row>
    <row r="3020" spans="1:5">
      <c r="A3020" s="1">
        <f>IF(C3020="","",COUNTA(C$4:C3020))</f>
        <v>2993</v>
      </c>
      <c r="B3020" s="1" t="s">
        <v>5775</v>
      </c>
      <c r="C3020" s="1" t="s">
        <v>5776</v>
      </c>
      <c r="E3020">
        <f t="shared" si="47"/>
        <v>0</v>
      </c>
    </row>
    <row r="3021" spans="1:5">
      <c r="A3021" s="1">
        <f>IF(C3021="","",COUNTA(C$4:C3021))</f>
        <v>2994</v>
      </c>
      <c r="B3021" s="1" t="s">
        <v>5777</v>
      </c>
      <c r="C3021" s="1" t="s">
        <v>5778</v>
      </c>
      <c r="E3021">
        <f t="shared" si="47"/>
        <v>0</v>
      </c>
    </row>
    <row r="3022" spans="1:5">
      <c r="A3022" s="1">
        <f>IF(C3022="","",COUNTA(C$4:C3022))</f>
        <v>2995</v>
      </c>
      <c r="B3022" s="1" t="s">
        <v>5779</v>
      </c>
      <c r="C3022" s="1" t="s">
        <v>5780</v>
      </c>
      <c r="E3022">
        <f t="shared" si="47"/>
        <v>0</v>
      </c>
    </row>
    <row r="3023" spans="1:5">
      <c r="A3023" s="1">
        <f>IF(C3023="","",COUNTA(C$4:C3023))</f>
        <v>2996</v>
      </c>
      <c r="B3023" s="1" t="s">
        <v>5781</v>
      </c>
      <c r="C3023" s="1" t="s">
        <v>5782</v>
      </c>
      <c r="E3023">
        <f t="shared" si="47"/>
        <v>0</v>
      </c>
    </row>
    <row r="3024" spans="1:5">
      <c r="A3024" s="1">
        <f>IF(C3024="","",COUNTA(C$4:C3024))</f>
        <v>2997</v>
      </c>
      <c r="B3024" s="1" t="s">
        <v>5783</v>
      </c>
      <c r="C3024" s="1" t="s">
        <v>5784</v>
      </c>
      <c r="E3024">
        <f t="shared" si="47"/>
        <v>0</v>
      </c>
    </row>
    <row r="3025" spans="1:5">
      <c r="A3025" s="1">
        <f>IF(C3025="","",COUNTA(C$4:C3025))</f>
        <v>2998</v>
      </c>
      <c r="B3025" s="1" t="s">
        <v>5785</v>
      </c>
      <c r="C3025" s="1" t="s">
        <v>5786</v>
      </c>
      <c r="E3025">
        <f t="shared" si="47"/>
        <v>0</v>
      </c>
    </row>
    <row r="3026" spans="1:5">
      <c r="A3026" s="1">
        <f>IF(C3026="","",COUNTA(C$4:C3026))</f>
        <v>2999</v>
      </c>
      <c r="B3026" s="1" t="s">
        <v>5787</v>
      </c>
      <c r="C3026" s="1" t="s">
        <v>5788</v>
      </c>
      <c r="E3026">
        <f t="shared" si="47"/>
        <v>0</v>
      </c>
    </row>
    <row r="3027" spans="1:5">
      <c r="A3027" s="1">
        <f>IF(C3027="","",COUNTA(C$4:C3027))</f>
        <v>3000</v>
      </c>
      <c r="B3027" s="1" t="s">
        <v>5789</v>
      </c>
      <c r="C3027" s="1" t="s">
        <v>5790</v>
      </c>
      <c r="E3027">
        <f t="shared" si="47"/>
        <v>0</v>
      </c>
    </row>
    <row r="3028" spans="1:5">
      <c r="A3028" s="1">
        <f>IF(C3028="","",COUNTA(C$4:C3028))</f>
        <v>3001</v>
      </c>
      <c r="B3028" s="1" t="s">
        <v>5791</v>
      </c>
      <c r="C3028" s="1" t="s">
        <v>5792</v>
      </c>
      <c r="E3028">
        <f t="shared" si="47"/>
        <v>0</v>
      </c>
    </row>
    <row r="3029" spans="1:5">
      <c r="A3029" s="1">
        <f>IF(C3029="","",COUNTA(C$4:C3029))</f>
        <v>3002</v>
      </c>
      <c r="B3029" s="1" t="s">
        <v>5793</v>
      </c>
      <c r="C3029" s="1" t="s">
        <v>5794</v>
      </c>
      <c r="E3029">
        <f t="shared" si="47"/>
        <v>0</v>
      </c>
    </row>
    <row r="3030" spans="1:5">
      <c r="A3030" s="1">
        <f>IF(C3030="","",COUNTA(C$4:C3030))</f>
        <v>3003</v>
      </c>
      <c r="B3030" s="1" t="s">
        <v>5795</v>
      </c>
      <c r="C3030" s="1" t="s">
        <v>5796</v>
      </c>
      <c r="E3030">
        <f t="shared" si="47"/>
        <v>0</v>
      </c>
    </row>
    <row r="3031" spans="1:5">
      <c r="A3031" s="1">
        <f>IF(C3031="","",COUNTA(C$4:C3031))</f>
        <v>3004</v>
      </c>
      <c r="B3031" s="1" t="s">
        <v>5797</v>
      </c>
      <c r="C3031" s="1" t="s">
        <v>5798</v>
      </c>
      <c r="E3031">
        <f t="shared" si="47"/>
        <v>0</v>
      </c>
    </row>
    <row r="3032" spans="1:5">
      <c r="A3032" s="1">
        <f>IF(C3032="","",COUNTA(C$4:C3032))</f>
        <v>3005</v>
      </c>
      <c r="B3032" s="1" t="s">
        <v>5799</v>
      </c>
      <c r="C3032" s="1" t="s">
        <v>5800</v>
      </c>
      <c r="E3032">
        <f t="shared" si="47"/>
        <v>0</v>
      </c>
    </row>
    <row r="3033" spans="1:5">
      <c r="A3033" s="1">
        <f>IF(C3033="","",COUNTA(C$4:C3033))</f>
        <v>3006</v>
      </c>
      <c r="B3033" s="1" t="s">
        <v>5801</v>
      </c>
      <c r="C3033" s="1" t="s">
        <v>5802</v>
      </c>
      <c r="E3033">
        <f t="shared" si="47"/>
        <v>0</v>
      </c>
    </row>
    <row r="3034" spans="1:5">
      <c r="A3034" s="1">
        <f>IF(C3034="","",COUNTA(C$4:C3034))</f>
        <v>3007</v>
      </c>
      <c r="B3034" s="1" t="s">
        <v>5803</v>
      </c>
      <c r="C3034" s="1" t="s">
        <v>5804</v>
      </c>
      <c r="E3034">
        <f t="shared" si="47"/>
        <v>0</v>
      </c>
    </row>
    <row r="3035" spans="1:5">
      <c r="A3035" s="1">
        <f>IF(C3035="","",COUNTA(C$4:C3035))</f>
        <v>3008</v>
      </c>
      <c r="B3035" s="1" t="s">
        <v>5805</v>
      </c>
      <c r="C3035" s="1" t="s">
        <v>5806</v>
      </c>
      <c r="E3035">
        <f t="shared" si="47"/>
        <v>0</v>
      </c>
    </row>
    <row r="3036" spans="1:5">
      <c r="A3036" s="1">
        <f>IF(C3036="","",COUNTA(C$4:C3036))</f>
        <v>3009</v>
      </c>
      <c r="B3036" s="1" t="s">
        <v>5807</v>
      </c>
      <c r="C3036" s="1" t="s">
        <v>5808</v>
      </c>
      <c r="E3036">
        <f t="shared" si="47"/>
        <v>0</v>
      </c>
    </row>
    <row r="3037" spans="1:5">
      <c r="A3037" s="1">
        <f>IF(C3037="","",COUNTA(C$4:C3037))</f>
        <v>3010</v>
      </c>
      <c r="B3037" s="1" t="s">
        <v>5809</v>
      </c>
      <c r="C3037" s="1" t="s">
        <v>5810</v>
      </c>
      <c r="E3037">
        <f t="shared" si="47"/>
        <v>0</v>
      </c>
    </row>
    <row r="3038" spans="1:5">
      <c r="A3038" s="1">
        <f>IF(C3038="","",COUNTA(C$4:C3038))</f>
        <v>3011</v>
      </c>
      <c r="B3038" s="1" t="s">
        <v>5811</v>
      </c>
      <c r="C3038" s="1" t="s">
        <v>5812</v>
      </c>
      <c r="E3038">
        <f t="shared" si="47"/>
        <v>0</v>
      </c>
    </row>
    <row r="3039" spans="1:5">
      <c r="A3039" s="1">
        <f>IF(C3039="","",COUNTA(C$4:C3039))</f>
        <v>3012</v>
      </c>
      <c r="B3039" s="1" t="s">
        <v>5813</v>
      </c>
      <c r="C3039" s="1" t="s">
        <v>5814</v>
      </c>
      <c r="E3039">
        <f t="shared" si="47"/>
        <v>0</v>
      </c>
    </row>
    <row r="3040" spans="1:5">
      <c r="A3040" s="1">
        <f>IF(C3040="","",COUNTA(C$4:C3040))</f>
        <v>3013</v>
      </c>
      <c r="B3040" s="1" t="s">
        <v>5815</v>
      </c>
      <c r="C3040" s="1" t="s">
        <v>5816</v>
      </c>
      <c r="E3040">
        <f t="shared" si="47"/>
        <v>0</v>
      </c>
    </row>
    <row r="3041" spans="1:5">
      <c r="A3041" s="1">
        <f>IF(C3041="","",COUNTA(C$4:C3041))</f>
        <v>3014</v>
      </c>
      <c r="B3041" s="1" t="s">
        <v>5817</v>
      </c>
      <c r="C3041" s="1" t="s">
        <v>5818</v>
      </c>
      <c r="E3041">
        <f t="shared" si="47"/>
        <v>0</v>
      </c>
    </row>
    <row r="3042" spans="1:5">
      <c r="A3042" s="1">
        <f>IF(C3042="","",COUNTA(C$4:C3042))</f>
        <v>3015</v>
      </c>
      <c r="B3042" s="1" t="s">
        <v>5819</v>
      </c>
      <c r="C3042" s="1" t="s">
        <v>5820</v>
      </c>
      <c r="E3042">
        <f t="shared" si="47"/>
        <v>0</v>
      </c>
    </row>
    <row r="3043" spans="1:5">
      <c r="A3043" s="1">
        <f>IF(C3043="","",COUNTA(C$4:C3043))</f>
        <v>3016</v>
      </c>
      <c r="B3043" s="1" t="s">
        <v>5821</v>
      </c>
      <c r="C3043" s="1" t="s">
        <v>5822</v>
      </c>
      <c r="E3043">
        <f t="shared" si="47"/>
        <v>0</v>
      </c>
    </row>
    <row r="3044" spans="1:5">
      <c r="A3044" s="1">
        <f>IF(C3044="","",COUNTA(C$4:C3044))</f>
        <v>3017</v>
      </c>
      <c r="B3044" s="1" t="s">
        <v>5823</v>
      </c>
      <c r="C3044" s="1" t="s">
        <v>5824</v>
      </c>
      <c r="E3044">
        <f t="shared" si="47"/>
        <v>0</v>
      </c>
    </row>
    <row r="3045" spans="1:5">
      <c r="A3045" s="1">
        <f>IF(C3045="","",COUNTA(C$4:C3045))</f>
        <v>3018</v>
      </c>
      <c r="B3045" s="1" t="s">
        <v>5825</v>
      </c>
      <c r="C3045" s="1" t="s">
        <v>5826</v>
      </c>
      <c r="E3045">
        <f t="shared" si="47"/>
        <v>0</v>
      </c>
    </row>
    <row r="3046" spans="1:5">
      <c r="A3046" s="1">
        <f>IF(C3046="","",COUNTA(C$4:C3046))</f>
        <v>3019</v>
      </c>
      <c r="B3046" s="1" t="s">
        <v>5827</v>
      </c>
      <c r="C3046" s="1" t="s">
        <v>5828</v>
      </c>
      <c r="E3046">
        <f t="shared" si="47"/>
        <v>0</v>
      </c>
    </row>
    <row r="3047" spans="1:5">
      <c r="A3047" s="1">
        <f>IF(C3047="","",COUNTA(C$4:C3047))</f>
        <v>3020</v>
      </c>
      <c r="B3047" s="1" t="s">
        <v>5829</v>
      </c>
      <c r="C3047" s="1" t="s">
        <v>5830</v>
      </c>
      <c r="E3047">
        <f t="shared" si="47"/>
        <v>0</v>
      </c>
    </row>
    <row r="3048" spans="1:5">
      <c r="A3048" s="1">
        <f>IF(C3048="","",COUNTA(C$4:C3048))</f>
        <v>3021</v>
      </c>
      <c r="B3048" s="1" t="s">
        <v>5831</v>
      </c>
      <c r="C3048" s="1" t="s">
        <v>2750</v>
      </c>
      <c r="E3048">
        <f t="shared" si="47"/>
        <v>0</v>
      </c>
    </row>
    <row r="3049" spans="1:5">
      <c r="A3049" s="1">
        <f>IF(C3049="","",COUNTA(C$4:C3049))</f>
        <v>3022</v>
      </c>
      <c r="B3049" s="1" t="s">
        <v>5832</v>
      </c>
      <c r="C3049" s="1" t="s">
        <v>5833</v>
      </c>
      <c r="E3049">
        <f t="shared" si="47"/>
        <v>0</v>
      </c>
    </row>
    <row r="3050" spans="1:5">
      <c r="A3050" s="1">
        <f>IF(C3050="","",COUNTA(C$4:C3050))</f>
        <v>3023</v>
      </c>
      <c r="B3050" s="1" t="s">
        <v>5834</v>
      </c>
      <c r="C3050" s="1" t="s">
        <v>5835</v>
      </c>
      <c r="E3050">
        <f t="shared" si="47"/>
        <v>0</v>
      </c>
    </row>
    <row r="3051" spans="1:5">
      <c r="A3051" s="1">
        <f>IF(C3051="","",COUNTA(C$4:C3051))</f>
        <v>3024</v>
      </c>
      <c r="B3051" s="1" t="s">
        <v>5836</v>
      </c>
      <c r="C3051" s="1" t="s">
        <v>5837</v>
      </c>
      <c r="E3051">
        <f t="shared" si="47"/>
        <v>0</v>
      </c>
    </row>
    <row r="3052" spans="1:5">
      <c r="A3052" s="1">
        <f>IF(C3052="","",COUNTA(C$4:C3052))</f>
        <v>3025</v>
      </c>
      <c r="B3052" s="1" t="s">
        <v>5838</v>
      </c>
      <c r="C3052" s="1" t="s">
        <v>5839</v>
      </c>
      <c r="E3052">
        <f t="shared" si="47"/>
        <v>0</v>
      </c>
    </row>
    <row r="3053" spans="1:5">
      <c r="A3053" s="1">
        <f>IF(C3053="","",COUNTA(C$4:C3053))</f>
        <v>3026</v>
      </c>
      <c r="B3053" s="1" t="s">
        <v>5840</v>
      </c>
      <c r="C3053" s="1" t="s">
        <v>5841</v>
      </c>
      <c r="E3053">
        <f t="shared" si="47"/>
        <v>0</v>
      </c>
    </row>
    <row r="3054" spans="1:5">
      <c r="A3054" s="1">
        <f>IF(C3054="","",COUNTA(C$4:C3054))</f>
        <v>3027</v>
      </c>
      <c r="B3054" s="1" t="s">
        <v>5842</v>
      </c>
      <c r="C3054" s="1" t="s">
        <v>2760</v>
      </c>
      <c r="E3054">
        <f t="shared" si="47"/>
        <v>0</v>
      </c>
    </row>
    <row r="3055" spans="1:5">
      <c r="A3055" s="1">
        <f>IF(C3055="","",COUNTA(C$4:C3055))</f>
        <v>3028</v>
      </c>
      <c r="B3055" s="1" t="s">
        <v>5843</v>
      </c>
      <c r="C3055" s="1" t="s">
        <v>5844</v>
      </c>
      <c r="E3055">
        <f t="shared" si="47"/>
        <v>0</v>
      </c>
    </row>
    <row r="3056" spans="1:5">
      <c r="A3056" s="1">
        <f>IF(C3056="","",COUNTA(C$4:C3056))</f>
        <v>3029</v>
      </c>
      <c r="B3056" s="1" t="s">
        <v>5845</v>
      </c>
      <c r="C3056" s="1" t="s">
        <v>5846</v>
      </c>
      <c r="E3056">
        <f t="shared" si="47"/>
        <v>0</v>
      </c>
    </row>
    <row r="3057" spans="1:5">
      <c r="A3057" s="1">
        <f>IF(C3057="","",COUNTA(C$4:C3057))</f>
        <v>3030</v>
      </c>
      <c r="B3057" s="1" t="s">
        <v>5847</v>
      </c>
      <c r="C3057" s="1" t="s">
        <v>5848</v>
      </c>
      <c r="E3057">
        <f t="shared" si="47"/>
        <v>0</v>
      </c>
    </row>
    <row r="3058" spans="1:5">
      <c r="A3058" s="1">
        <f>IF(C3058="","",COUNTA(C$4:C3058))</f>
        <v>3031</v>
      </c>
      <c r="B3058" s="1" t="s">
        <v>5849</v>
      </c>
      <c r="C3058" s="1" t="s">
        <v>5850</v>
      </c>
      <c r="E3058">
        <f t="shared" si="47"/>
        <v>0</v>
      </c>
    </row>
    <row r="3059" spans="1:5">
      <c r="A3059" s="1">
        <f>IF(C3059="","",COUNTA(C$4:C3059))</f>
        <v>3032</v>
      </c>
      <c r="B3059" s="1" t="s">
        <v>5851</v>
      </c>
      <c r="C3059" s="1" t="s">
        <v>5852</v>
      </c>
      <c r="E3059">
        <f t="shared" si="47"/>
        <v>0</v>
      </c>
    </row>
    <row r="3060" spans="1:5">
      <c r="A3060" s="1">
        <f>IF(C3060="","",COUNTA(C$4:C3060))</f>
        <v>3033</v>
      </c>
      <c r="B3060" s="1" t="s">
        <v>5853</v>
      </c>
      <c r="C3060" s="1" t="s">
        <v>5854</v>
      </c>
      <c r="E3060">
        <f t="shared" si="47"/>
        <v>0</v>
      </c>
    </row>
    <row r="3061" spans="1:5">
      <c r="A3061" s="1">
        <f>IF(C3061="","",COUNTA(C$4:C3061))</f>
        <v>3034</v>
      </c>
      <c r="B3061" s="1" t="s">
        <v>5855</v>
      </c>
      <c r="C3061" s="1" t="s">
        <v>5856</v>
      </c>
      <c r="E3061">
        <f t="shared" si="47"/>
        <v>0</v>
      </c>
    </row>
    <row r="3062" spans="1:5">
      <c r="A3062" s="1">
        <f>IF(C3062="","",COUNTA(C$4:C3062))</f>
        <v>3035</v>
      </c>
      <c r="B3062" s="1" t="s">
        <v>5857</v>
      </c>
      <c r="C3062" s="1" t="s">
        <v>5858</v>
      </c>
      <c r="E3062">
        <f t="shared" si="47"/>
        <v>0</v>
      </c>
    </row>
    <row r="3063" spans="1:5">
      <c r="A3063" s="1">
        <f>IF(C3063="","",COUNTA(C$4:C3063))</f>
        <v>3036</v>
      </c>
      <c r="B3063" s="1" t="s">
        <v>5859</v>
      </c>
      <c r="C3063" s="1" t="s">
        <v>5860</v>
      </c>
      <c r="E3063">
        <f t="shared" si="47"/>
        <v>0</v>
      </c>
    </row>
    <row r="3064" spans="1:5">
      <c r="A3064" s="1">
        <f>IF(C3064="","",COUNTA(C$4:C3064))</f>
        <v>3037</v>
      </c>
      <c r="B3064" s="1" t="s">
        <v>5861</v>
      </c>
      <c r="C3064" s="1" t="s">
        <v>5862</v>
      </c>
      <c r="E3064">
        <f t="shared" si="47"/>
        <v>0</v>
      </c>
    </row>
    <row r="3065" spans="1:5">
      <c r="A3065" s="1">
        <f>IF(C3065="","",COUNTA(C$4:C3065))</f>
        <v>3038</v>
      </c>
      <c r="B3065" s="1" t="s">
        <v>5863</v>
      </c>
      <c r="C3065" s="1" t="s">
        <v>5864</v>
      </c>
      <c r="E3065">
        <f t="shared" si="47"/>
        <v>0</v>
      </c>
    </row>
    <row r="3066" spans="1:5">
      <c r="A3066" s="1">
        <f>IF(C3066="","",COUNTA(C$4:C3066))</f>
        <v>3039</v>
      </c>
      <c r="B3066" s="1" t="s">
        <v>5865</v>
      </c>
      <c r="C3066" s="1" t="s">
        <v>5866</v>
      </c>
      <c r="E3066">
        <f t="shared" si="47"/>
        <v>0</v>
      </c>
    </row>
    <row r="3067" spans="1:5">
      <c r="A3067" s="1">
        <f>IF(C3067="","",COUNTA(C$4:C3067))</f>
        <v>3040</v>
      </c>
      <c r="B3067" s="1" t="s">
        <v>5867</v>
      </c>
      <c r="C3067" s="1" t="s">
        <v>5868</v>
      </c>
      <c r="E3067">
        <f t="shared" si="47"/>
        <v>0</v>
      </c>
    </row>
    <row r="3068" spans="1:5">
      <c r="A3068" s="1">
        <f>IF(C3068="","",COUNTA(C$4:C3068))</f>
        <v>3041</v>
      </c>
      <c r="B3068" s="1" t="s">
        <v>5869</v>
      </c>
      <c r="C3068" s="1" t="s">
        <v>5870</v>
      </c>
      <c r="E3068">
        <f t="shared" si="47"/>
        <v>0</v>
      </c>
    </row>
    <row r="3069" spans="1:5">
      <c r="A3069" s="1">
        <f>IF(C3069="","",COUNTA(C$4:C3069))</f>
        <v>3042</v>
      </c>
      <c r="B3069" s="1" t="s">
        <v>5871</v>
      </c>
      <c r="C3069" s="1" t="s">
        <v>5872</v>
      </c>
      <c r="E3069">
        <f t="shared" si="47"/>
        <v>0</v>
      </c>
    </row>
    <row r="3070" spans="1:5">
      <c r="A3070" s="1">
        <f>IF(C3070="","",COUNTA(C$4:C3070))</f>
        <v>3043</v>
      </c>
      <c r="B3070" s="1" t="s">
        <v>5873</v>
      </c>
      <c r="C3070" s="1" t="s">
        <v>5874</v>
      </c>
      <c r="E3070">
        <f t="shared" si="47"/>
        <v>0</v>
      </c>
    </row>
    <row r="3071" spans="1:5">
      <c r="A3071" s="1">
        <f>IF(C3071="","",COUNTA(C$4:C3071))</f>
        <v>3044</v>
      </c>
      <c r="B3071" s="1" t="s">
        <v>5875</v>
      </c>
      <c r="C3071" s="1" t="s">
        <v>5876</v>
      </c>
      <c r="E3071">
        <f t="shared" si="47"/>
        <v>0</v>
      </c>
    </row>
    <row r="3072" spans="1:5">
      <c r="A3072" s="1">
        <f>IF(C3072="","",COUNTA(C$4:C3072))</f>
        <v>3045</v>
      </c>
      <c r="B3072" s="1" t="s">
        <v>5877</v>
      </c>
      <c r="C3072" s="1" t="s">
        <v>5878</v>
      </c>
      <c r="E3072">
        <f t="shared" si="47"/>
        <v>0</v>
      </c>
    </row>
    <row r="3073" spans="1:5">
      <c r="A3073" s="1">
        <f>IF(C3073="","",COUNTA(C$4:C3073))</f>
        <v>3046</v>
      </c>
      <c r="B3073" s="1" t="s">
        <v>5879</v>
      </c>
      <c r="C3073" s="1" t="s">
        <v>5880</v>
      </c>
      <c r="E3073">
        <f t="shared" si="47"/>
        <v>0</v>
      </c>
    </row>
    <row r="3074" spans="1:5">
      <c r="A3074" s="1">
        <f>IF(C3074="","",COUNTA(C$4:C3074))</f>
        <v>3047</v>
      </c>
      <c r="B3074" s="1" t="s">
        <v>5881</v>
      </c>
      <c r="C3074" s="1" t="s">
        <v>5882</v>
      </c>
      <c r="E3074">
        <f t="shared" si="47"/>
        <v>0</v>
      </c>
    </row>
    <row r="3075" spans="1:5">
      <c r="A3075" s="1">
        <f>IF(C3075="","",COUNTA(C$4:C3075))</f>
        <v>3048</v>
      </c>
      <c r="B3075" s="1" t="s">
        <v>5883</v>
      </c>
      <c r="C3075" s="1" t="s">
        <v>5884</v>
      </c>
      <c r="E3075">
        <f t="shared" si="47"/>
        <v>0</v>
      </c>
    </row>
    <row r="3076" spans="1:5">
      <c r="A3076" s="1">
        <f>IF(C3076="","",COUNTA(C$4:C3076))</f>
        <v>3049</v>
      </c>
      <c r="B3076" s="1" t="s">
        <v>5885</v>
      </c>
      <c r="C3076" s="1" t="s">
        <v>5886</v>
      </c>
      <c r="E3076">
        <f t="shared" si="47"/>
        <v>0</v>
      </c>
    </row>
    <row r="3077" spans="1:5">
      <c r="A3077" s="1">
        <f>IF(C3077="","",COUNTA(C$4:C3077))</f>
        <v>3050</v>
      </c>
      <c r="B3077" s="1" t="s">
        <v>5887</v>
      </c>
      <c r="C3077" s="1" t="s">
        <v>5888</v>
      </c>
      <c r="E3077">
        <f t="shared" ref="E3077" si="48">IF(C3077=D3077,1,0)</f>
        <v>0</v>
      </c>
    </row>
    <row r="3078" spans="1:5">
      <c r="C3078" s="9"/>
      <c r="D3078" s="9" t="s">
        <v>5918</v>
      </c>
    </row>
  </sheetData>
  <sheetProtection algorithmName="SHA-512" hashValue="eDz1vq0ZCnTmZzI+jtOiRpklaR08dZlHacked/bGcO3pWGYGEchz5ln6Alvxrxchq6VSyXUJxLT8cOvBH8sWjQ==" saltValue="QDg8KqI7sPf5w6523+krkw==" spinCount="100000" sheet="1" insertHyperlinks="0" selectLockedCells="1"/>
  <mergeCells count="25">
    <mergeCell ref="A2842:C2842"/>
    <mergeCell ref="A2046:C2046"/>
    <mergeCell ref="A2155:C2155"/>
    <mergeCell ref="A2286:C2286"/>
    <mergeCell ref="A2431:C2431"/>
    <mergeCell ref="A2571:C2571"/>
    <mergeCell ref="A2714:C2714"/>
    <mergeCell ref="A1945:C1945"/>
    <mergeCell ref="A747:C747"/>
    <mergeCell ref="A852:C852"/>
    <mergeCell ref="A1004:C1004"/>
    <mergeCell ref="A1147:C1147"/>
    <mergeCell ref="A1252:C1252"/>
    <mergeCell ref="A1357:C1357"/>
    <mergeCell ref="A1484:C1484"/>
    <mergeCell ref="A1497:C1497"/>
    <mergeCell ref="A1612:C1612"/>
    <mergeCell ref="A1724:C1724"/>
    <mergeCell ref="A1839:C1839"/>
    <mergeCell ref="A633:C633"/>
    <mergeCell ref="A3:C3"/>
    <mergeCell ref="A116:C116"/>
    <mergeCell ref="A260:C260"/>
    <mergeCell ref="A374:C374"/>
    <mergeCell ref="A487:C487"/>
  </mergeCells>
  <phoneticPr fontId="2" type="noConversion"/>
  <hyperlinks>
    <hyperlink ref="G2" location="Sheet1!A3" display="Chapter3 Test Paper 1" xr:uid="{04162448-1440-E448-9DED-301B951755A0}"/>
    <hyperlink ref="G3" location="Sheet1!A116" display="Chapter3 Test Paper 2" xr:uid="{EC973941-35A3-7D4E-85FA-5B31D7D72CEE}"/>
    <hyperlink ref="G4" location="Sheet1!A260" display="Chapter3 Test Paper 3" xr:uid="{BC4D10E3-292C-2747-BD45-9A6B720D2655}"/>
    <hyperlink ref="G5" location="Sheet1!A374" display="Chapter3 Test Paper 4" xr:uid="{6EAE0215-FF40-E945-8EC7-9EC1F16B9744}"/>
    <hyperlink ref="G6" location="Sheet1!A487" display="Chapter3 Test Paper 5" xr:uid="{D372093E-D892-C047-A414-789DB733542C}"/>
    <hyperlink ref="G7" location="Sheet1!A633" display="Chapter3 Test Paper 6" xr:uid="{5D6A4BB4-E807-884C-8902-DA786BEE15DF}"/>
    <hyperlink ref="G8" location="Sheet1!A747" display="Chapter3 Test Paper 7" xr:uid="{A8803984-F05C-DE4C-AA4A-0A7457AD3658}"/>
    <hyperlink ref="G9" location="Sheet1!A852" display="Chapter3 Test Paper 8" xr:uid="{5D3CE50B-5E84-6748-8A4D-12CFF87724C6}"/>
    <hyperlink ref="G10" location="Sheet1!A1004" display="Chapter3 Test Paper 9" xr:uid="{86F83143-CEC6-F641-AAED-A0F66A628392}"/>
    <hyperlink ref="G11" location="Sheet1!A1147" display="Chapter4 Test Paper 1" xr:uid="{9141F09C-8F04-9D4F-A98F-C8DA159516FC}"/>
    <hyperlink ref="G12" location="Sheet1!A1252" display="Chapter4 Test Paper 2" xr:uid="{ACC450B9-57CC-4748-A7D0-366F7DE50F8A}"/>
    <hyperlink ref="G13" location="Sheet1!A1357" display="Chapter4 Test Paper 3" xr:uid="{50311CD7-DD3B-B844-B20C-F128C8F7C5FA}"/>
    <hyperlink ref="G14" location="Sheet1!A1484" display="Chapter4 Test Paper 4 adverb" xr:uid="{DCC43809-A757-CB40-BBCD-42FC481A1AAD}"/>
    <hyperlink ref="G15" location="Sheet1!A1497" display="Chapter5 Test Paper 1" xr:uid="{27AD9FD4-4369-8B44-BEBC-F6FAC95C3DFE}"/>
    <hyperlink ref="G16" location="Sheet1!A1612" display="Chapter5 Test Paper 2" xr:uid="{6B1F504E-C4C2-3C41-9066-D00266822B53}"/>
    <hyperlink ref="G17" location="Sheet1!A1724" display="Chapter5 Test Paper 3" xr:uid="{0A5A8008-2B5C-B746-B340-A141E3040D89}"/>
    <hyperlink ref="G18" location="Sheet1!A1839" display="Chapter5 Test Paper 4" xr:uid="{337F7292-D476-5B42-A304-B492C6D89180}"/>
    <hyperlink ref="G19" location="Sheet1!A1945" display="Chapter5 Test Paper 5" xr:uid="{20C2E33A-87AB-0540-AB06-0DEDD89F4495}"/>
    <hyperlink ref="G20" location="Sheet1!A2046" display="Chapter5 Test Paper 6" xr:uid="{15D97119-9B49-E046-A4ED-C6E94FE756F8}"/>
    <hyperlink ref="G21" location="Sheet1!A2155" display="Chapter5 Test Paper 7" xr:uid="{B85A6A1D-CE84-B349-95B8-0B91D51AA9E9}"/>
    <hyperlink ref="G22" location="Sheet1!A2286" display="Chapter5 Test Paper 8" xr:uid="{8D9E4755-C9D9-B345-A1A1-F763608B1B8A}"/>
    <hyperlink ref="G23" location="Sheet1!A2431" display="Chapter5 Test Paper 9" xr:uid="{AD6A4E38-CEF1-714A-9FAE-9A83C3FF8888}"/>
    <hyperlink ref="G24" location="Sheet1!A2571" display="Chapter5 Test Paper 10" xr:uid="{74ED07E4-362B-AF4A-83B7-591955C01944}"/>
    <hyperlink ref="G25" location="Sheet1!A2714" display="Chapter5 Test Paper 11" xr:uid="{E1EA92AC-5475-6140-BE71-3E5A4F4C18A0}"/>
    <hyperlink ref="G26" location="Sheet1!A2842" display="Chapter5 Test Paper 12" xr:uid="{3B3DF50C-82C5-C041-91DF-3520E54FEEB2}"/>
    <hyperlink ref="D3078" location="Sheet1!A1" display="点我回到顶部" xr:uid="{2D7CFAA6-9F38-4B4B-8680-8C6564071002}"/>
    <hyperlink ref="G1" location="Sheet1!A2" display="回到顶部" xr:uid="{765358A1-30BA-7B48-980E-8D628A9EC92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巴铭远</dc:creator>
  <cp:lastModifiedBy>巴铭远</cp:lastModifiedBy>
  <dcterms:created xsi:type="dcterms:W3CDTF">2023-07-07T06:19:09Z</dcterms:created>
  <dcterms:modified xsi:type="dcterms:W3CDTF">2023-07-09T08:04:33Z</dcterms:modified>
</cp:coreProperties>
</file>